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026" codeName="{28389E77-7640-9E18-AD5C-E98E2F4A8B83}"/>
  <workbookPr updateLinks="never" codeName="ThisWorkbook"/>
  <mc:AlternateContent xmlns:mc="http://schemas.openxmlformats.org/markup-compatibility/2006">
    <mc:Choice Requires="x15">
      <x15ac:absPath xmlns:x15ac="http://schemas.microsoft.com/office/spreadsheetml/2010/11/ac" url="C:\Users\Administrateur\Downloads\"/>
    </mc:Choice>
  </mc:AlternateContent>
  <xr:revisionPtr revIDLastSave="0" documentId="13_ncr:1_{99D4764E-AD4B-408B-85E8-B772ECC0D1F9}" xr6:coauthVersionLast="47" xr6:coauthVersionMax="47" xr10:uidLastSave="{00000000-0000-0000-0000-000000000000}"/>
  <bookViews>
    <workbookView xWindow="-103" yWindow="-103" windowWidth="22149" windowHeight="11829"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D17" i="12"/>
  <c r="C36" i="12"/>
  <c r="D35" i="12"/>
  <c r="D34" i="12"/>
  <c r="D33" i="12"/>
  <c r="D32" i="12"/>
  <c r="D31" i="12"/>
  <c r="D30" i="12"/>
  <c r="C48" i="12"/>
  <c r="D47" i="12"/>
  <c r="D46" i="12"/>
  <c r="D45" i="12"/>
  <c r="D44" i="12"/>
  <c r="D43" i="12"/>
  <c r="D42" i="12"/>
  <c r="C60" i="12"/>
  <c r="D59" i="12"/>
  <c r="D58" i="12"/>
  <c r="D57" i="12"/>
  <c r="D56" i="12"/>
  <c r="D55" i="12"/>
  <c r="C72" i="12"/>
  <c r="D71" i="12"/>
  <c r="D70" i="12"/>
  <c r="D69" i="12"/>
  <c r="D68" i="12"/>
  <c r="D67" i="12"/>
  <c r="D66" i="12"/>
  <c r="C84" i="12"/>
  <c r="D83" i="12"/>
  <c r="D82" i="12"/>
  <c r="D81" i="12"/>
  <c r="D80" i="12"/>
  <c r="D79" i="12"/>
  <c r="D78" i="12"/>
  <c r="C96" i="12"/>
  <c r="D95" i="12"/>
  <c r="D94" i="12"/>
  <c r="D93" i="12"/>
  <c r="D92" i="12"/>
  <c r="D91" i="12"/>
  <c r="D90" i="12"/>
  <c r="C108" i="12"/>
  <c r="D107" i="12"/>
  <c r="D106" i="12"/>
  <c r="D105" i="12"/>
  <c r="D104" i="12"/>
  <c r="D103" i="12"/>
  <c r="C120" i="12"/>
  <c r="D119" i="12"/>
  <c r="D118" i="12"/>
  <c r="D117" i="12"/>
  <c r="D116" i="12"/>
  <c r="D115" i="12"/>
  <c r="C132" i="12"/>
  <c r="D131" i="12"/>
  <c r="D130" i="12"/>
  <c r="D129" i="12"/>
  <c r="D128" i="12"/>
  <c r="C144" i="12"/>
  <c r="D143" i="12"/>
  <c r="D142" i="12"/>
  <c r="D141" i="12"/>
  <c r="D140" i="12"/>
  <c r="D139" i="12"/>
  <c r="C156" i="12"/>
  <c r="D155" i="12"/>
  <c r="C168" i="12"/>
  <c r="D167" i="12"/>
  <c r="D166" i="12"/>
  <c r="D165" i="12"/>
  <c r="D164" i="12"/>
  <c r="C180" i="12"/>
  <c r="D179" i="12"/>
  <c r="D178" i="12"/>
  <c r="D177" i="12"/>
  <c r="C192" i="12"/>
  <c r="D191" i="12"/>
  <c r="D190" i="12"/>
  <c r="D189" i="12"/>
  <c r="C204" i="12"/>
  <c r="D203" i="12"/>
  <c r="D202" i="12"/>
  <c r="D201" i="12"/>
  <c r="C216" i="12"/>
  <c r="D215" i="12"/>
  <c r="D214" i="12"/>
  <c r="D213" i="12"/>
  <c r="D212" i="12"/>
  <c r="D211" i="12"/>
  <c r="D210" i="12"/>
  <c r="D209" i="12"/>
  <c r="C228" i="12"/>
  <c r="D227" i="12"/>
  <c r="D226" i="12"/>
  <c r="D225" i="12"/>
  <c r="D224" i="12"/>
  <c r="D223" i="12"/>
  <c r="D222" i="12"/>
  <c r="C240" i="12"/>
  <c r="D239" i="12"/>
  <c r="C252" i="12"/>
  <c r="D251" i="12"/>
  <c r="D250" i="12"/>
  <c r="D249" i="12"/>
  <c r="D248" i="12"/>
  <c r="C264" i="12"/>
  <c r="D263" i="12"/>
  <c r="D262" i="12"/>
  <c r="D261" i="12"/>
  <c r="D260" i="12"/>
  <c r="C276" i="12"/>
  <c r="D275" i="12"/>
  <c r="D274" i="12"/>
  <c r="D273" i="12"/>
  <c r="D272" i="12"/>
  <c r="D271" i="12"/>
  <c r="C288" i="12"/>
  <c r="D287" i="12"/>
  <c r="D286" i="12"/>
  <c r="C300" i="12"/>
  <c r="D299" i="12"/>
  <c r="D298" i="12"/>
  <c r="D297" i="12"/>
  <c r="D296" i="12"/>
  <c r="C312" i="12"/>
  <c r="D311" i="12"/>
  <c r="D310" i="12"/>
  <c r="D309" i="12"/>
  <c r="D308" i="12"/>
  <c r="C324" i="12"/>
  <c r="D323" i="12"/>
  <c r="C12" i="10"/>
  <c r="D11" i="10"/>
  <c r="D10" i="10"/>
  <c r="D9" i="10"/>
  <c r="D8" i="10"/>
  <c r="D7" i="10"/>
  <c r="D307" i="12"/>
  <c r="D322" i="12"/>
  <c r="D4" i="12"/>
  <c r="D192" i="12"/>
  <c r="D84" i="12"/>
  <c r="D312" i="12"/>
  <c r="D156" i="12"/>
  <c r="D285" i="12"/>
  <c r="D317" i="12"/>
  <c r="D153" i="12"/>
  <c r="D144" i="12"/>
  <c r="D151" i="12"/>
  <c r="D234" i="12"/>
  <c r="D4" i="10"/>
  <c r="D112" i="12"/>
  <c r="D40" i="12"/>
  <c r="D252" i="12"/>
  <c r="D5" i="10"/>
  <c r="D12" i="12"/>
  <c r="D208" i="12"/>
  <c r="D257" i="12"/>
  <c r="D24" i="12"/>
  <c r="D173" i="12"/>
  <c r="D244" i="12"/>
  <c r="D136" i="12"/>
  <c r="D175" i="12"/>
  <c r="D180" i="12"/>
  <c r="D324" i="12"/>
  <c r="D102" i="12"/>
  <c r="D294" i="12"/>
  <c r="D240" i="12"/>
  <c r="D256" i="12"/>
  <c r="D124" i="12"/>
  <c r="D238" i="12"/>
  <c r="D161" i="12"/>
  <c r="D258" i="12"/>
  <c r="D284" i="12"/>
  <c r="D200" i="12"/>
  <c r="D89" i="12"/>
  <c r="D114" i="12"/>
  <c r="D163" i="12"/>
  <c r="D76" i="1"/>
  <c r="D127" i="12"/>
  <c r="D120" i="12"/>
  <c r="D96" i="12"/>
  <c r="D276" i="12"/>
  <c r="D168" i="12"/>
  <c r="D64" i="12"/>
  <c r="D125" i="12"/>
  <c r="D237" i="12"/>
  <c r="D77" i="12"/>
  <c r="D176" i="12"/>
  <c r="D5" i="12"/>
  <c r="D295" i="12"/>
  <c r="D204" i="12"/>
  <c r="D113" i="12"/>
  <c r="D319" i="12"/>
  <c r="D247" i="12"/>
  <c r="D154" i="12"/>
  <c r="D28" i="12"/>
  <c r="D268" i="12"/>
  <c r="D228" i="12"/>
  <c r="D88" i="12"/>
  <c r="D185" i="12"/>
  <c r="D235" i="12"/>
  <c r="D137" i="12"/>
  <c r="D246" i="12"/>
  <c r="D100" i="12"/>
  <c r="D150" i="12"/>
  <c r="D281" i="12"/>
  <c r="D199" i="12"/>
  <c r="D126" i="12"/>
  <c r="D304" i="12"/>
  <c r="D236" i="12"/>
  <c r="D52" i="12"/>
  <c r="D198" i="12"/>
  <c r="D72" i="12"/>
  <c r="D306" i="12"/>
  <c r="D233" i="12"/>
  <c r="D65" i="12"/>
  <c r="D187" i="12"/>
  <c r="D41" i="12"/>
  <c r="D264" i="12"/>
  <c r="D196" i="12"/>
  <c r="D232" i="12"/>
  <c r="D305" i="12"/>
  <c r="D60" i="12"/>
  <c r="D172" i="12"/>
  <c r="D149" i="12"/>
  <c r="D216" i="12"/>
  <c r="D48" i="12"/>
  <c r="D288" i="12"/>
  <c r="D197" i="12"/>
  <c r="D259" i="12"/>
  <c r="D162" i="12"/>
  <c r="D282" i="12"/>
  <c r="D16" i="12"/>
  <c r="D132" i="12"/>
  <c r="D53" i="12"/>
  <c r="D292" i="12"/>
  <c r="D321" i="12"/>
  <c r="D174" i="12"/>
  <c r="D184" i="12"/>
  <c r="D152" i="12"/>
  <c r="D220" i="12"/>
  <c r="D160" i="12"/>
  <c r="D318" i="12"/>
  <c r="D280" i="12"/>
  <c r="D6" i="10"/>
  <c r="D320" i="12"/>
  <c r="D221" i="12"/>
  <c r="D245" i="12"/>
  <c r="D54" i="12"/>
  <c r="D76" i="12"/>
  <c r="D108" i="12"/>
  <c r="D101" i="12"/>
  <c r="D186" i="12"/>
  <c r="D12" i="10"/>
  <c r="D300" i="12"/>
  <c r="D270" i="12"/>
  <c r="D138" i="12"/>
  <c r="D293" i="12"/>
  <c r="D148" i="12"/>
  <c r="D188" i="12"/>
  <c r="D36" i="12"/>
  <c r="D316" i="12"/>
  <c r="D269" i="12"/>
  <c r="D283" i="12"/>
  <c r="D29" i="12"/>
  <c r="C24" i="10" l="1"/>
  <c r="D23" i="10"/>
  <c r="D22" i="10"/>
  <c r="D21" i="10"/>
  <c r="D20" i="10"/>
  <c r="D19" i="10"/>
  <c r="D18" i="10"/>
  <c r="D17" i="10"/>
  <c r="C36" i="10"/>
  <c r="D35" i="10"/>
  <c r="D34" i="10"/>
  <c r="D33" i="10"/>
  <c r="D32" i="10"/>
  <c r="D31" i="10"/>
  <c r="D30" i="10"/>
  <c r="C48" i="10"/>
  <c r="D47" i="10"/>
  <c r="D46" i="10"/>
  <c r="D45" i="10"/>
  <c r="D44" i="10"/>
  <c r="D43" i="10"/>
  <c r="D42" i="10"/>
  <c r="C60" i="10"/>
  <c r="D59" i="10"/>
  <c r="D58" i="10"/>
  <c r="D57" i="10"/>
  <c r="D56" i="10"/>
  <c r="D55" i="10"/>
  <c r="C72" i="10"/>
  <c r="D71" i="10"/>
  <c r="D70" i="10"/>
  <c r="D69" i="10"/>
  <c r="C84" i="10"/>
  <c r="D83" i="10"/>
  <c r="D82" i="10"/>
  <c r="D81" i="10"/>
  <c r="D80" i="10"/>
  <c r="D79" i="10"/>
  <c r="C96" i="10"/>
  <c r="D95" i="10"/>
  <c r="D94" i="10"/>
  <c r="D93" i="10"/>
  <c r="D92" i="10"/>
  <c r="C108" i="10"/>
  <c r="D107" i="10"/>
  <c r="D106" i="10"/>
  <c r="D105" i="10"/>
  <c r="D104" i="10"/>
  <c r="D103" i="10"/>
  <c r="D102" i="10"/>
  <c r="C120" i="10"/>
  <c r="D119" i="10"/>
  <c r="D118" i="10"/>
  <c r="D117" i="10"/>
  <c r="D116" i="10"/>
  <c r="D115" i="10"/>
  <c r="D114" i="10"/>
  <c r="C132" i="10"/>
  <c r="D131" i="10"/>
  <c r="D130" i="10"/>
  <c r="D129" i="10"/>
  <c r="D128" i="10"/>
  <c r="D127" i="10"/>
  <c r="D126" i="10"/>
  <c r="C144" i="10"/>
  <c r="D143" i="10"/>
  <c r="D142" i="10"/>
  <c r="D141" i="10"/>
  <c r="D140" i="10"/>
  <c r="C156" i="10"/>
  <c r="D155" i="10"/>
  <c r="D154" i="10"/>
  <c r="D153" i="10"/>
  <c r="D152" i="10"/>
  <c r="D151" i="10"/>
  <c r="D150" i="10"/>
  <c r="C168" i="10"/>
  <c r="D167" i="10"/>
  <c r="D166" i="10"/>
  <c r="D165" i="10"/>
  <c r="D164" i="10"/>
  <c r="D163" i="10"/>
  <c r="D162" i="10"/>
  <c r="D161" i="10"/>
  <c r="C180" i="10"/>
  <c r="D179" i="10"/>
  <c r="D178" i="10"/>
  <c r="D177" i="10"/>
  <c r="D176" i="10"/>
  <c r="D175" i="10"/>
  <c r="D174" i="10"/>
  <c r="C192" i="10"/>
  <c r="D191" i="10"/>
  <c r="D190" i="10"/>
  <c r="D189" i="10"/>
  <c r="D188" i="10"/>
  <c r="C204" i="10"/>
  <c r="D203" i="10"/>
  <c r="D202" i="10"/>
  <c r="D201" i="10"/>
  <c r="D200" i="10"/>
  <c r="D199" i="10"/>
  <c r="D198" i="10"/>
  <c r="C216" i="10"/>
  <c r="D215" i="10"/>
  <c r="D214" i="10"/>
  <c r="D213" i="10"/>
  <c r="D212" i="10"/>
  <c r="D211" i="10"/>
  <c r="D210" i="10"/>
  <c r="C228" i="10"/>
  <c r="D227" i="10"/>
  <c r="D226" i="10"/>
  <c r="D225" i="10"/>
  <c r="D224" i="10"/>
  <c r="D223" i="10"/>
  <c r="D222" i="10"/>
  <c r="C240" i="10"/>
  <c r="D239" i="10"/>
  <c r="D238" i="10"/>
  <c r="C252" i="10"/>
  <c r="D251" i="10"/>
  <c r="D250" i="10"/>
  <c r="D249" i="10"/>
  <c r="D248" i="10"/>
  <c r="D247" i="10"/>
  <c r="D246" i="10"/>
  <c r="C264" i="10"/>
  <c r="D263" i="10"/>
  <c r="D262" i="10"/>
  <c r="D261" i="10"/>
  <c r="D260" i="10"/>
  <c r="D259" i="10"/>
  <c r="D258" i="10"/>
  <c r="D257" i="10"/>
  <c r="C276" i="10"/>
  <c r="D275" i="10"/>
  <c r="D274" i="10"/>
  <c r="D273" i="10"/>
  <c r="D272" i="10"/>
  <c r="D271" i="10"/>
  <c r="C288" i="10"/>
  <c r="D287" i="10"/>
  <c r="D286" i="10"/>
  <c r="C300" i="10"/>
  <c r="D299" i="10"/>
  <c r="D298" i="10"/>
  <c r="D297" i="10"/>
  <c r="C312" i="10"/>
  <c r="D311" i="10"/>
  <c r="D310" i="10"/>
  <c r="D309" i="10"/>
  <c r="C324" i="10"/>
  <c r="D323" i="10"/>
  <c r="D322" i="10"/>
  <c r="D321" i="10"/>
  <c r="D320" i="10"/>
  <c r="D3" i="15"/>
  <c r="D4" i="15"/>
  <c r="D5" i="15"/>
  <c r="D6" i="15"/>
  <c r="D7" i="15"/>
  <c r="D8" i="15"/>
  <c r="D9" i="15"/>
  <c r="D10" i="15"/>
  <c r="C11" i="15"/>
  <c r="D10" i="16"/>
  <c r="D9" i="16"/>
  <c r="D8" i="16"/>
  <c r="D7" i="16"/>
  <c r="D6" i="16"/>
  <c r="D5" i="16"/>
  <c r="D4" i="16"/>
  <c r="D3" i="16"/>
  <c r="C11" i="16"/>
  <c r="D308" i="10"/>
  <c r="D11" i="15"/>
  <c r="D90" i="10"/>
  <c r="D196" i="10"/>
  <c r="D300" i="10"/>
  <c r="D28" i="10"/>
  <c r="D316" i="10"/>
  <c r="D233" i="10"/>
  <c r="D101" i="10"/>
  <c r="D120" i="10"/>
  <c r="D78" i="10"/>
  <c r="D66" i="10"/>
  <c r="D65" i="10"/>
  <c r="D269" i="10"/>
  <c r="D74" i="1"/>
  <c r="D58" i="1"/>
  <c r="D42" i="1"/>
  <c r="D26" i="1"/>
  <c r="D71" i="1"/>
  <c r="D55" i="1"/>
  <c r="D39" i="1"/>
  <c r="D23" i="1"/>
  <c r="D89" i="10"/>
  <c r="D136" i="10"/>
  <c r="D281" i="10"/>
  <c r="D294" i="10"/>
  <c r="D100" i="10"/>
  <c r="D306" i="10"/>
  <c r="D72" i="1"/>
  <c r="D21" i="1"/>
  <c r="D76" i="10"/>
  <c r="D288" i="10"/>
  <c r="D70" i="1"/>
  <c r="D237" i="10"/>
  <c r="D37" i="1"/>
  <c r="D234" i="10"/>
  <c r="D35" i="1"/>
  <c r="D64" i="10"/>
  <c r="D317" i="10"/>
  <c r="D244" i="10"/>
  <c r="D220" i="10"/>
  <c r="D54" i="10"/>
  <c r="D168" i="10"/>
  <c r="D270" i="10"/>
  <c r="D108" i="10"/>
  <c r="D48" i="10"/>
  <c r="D295" i="10"/>
  <c r="D252" i="10"/>
  <c r="D232" i="10"/>
  <c r="D132" i="10"/>
  <c r="D280" i="10"/>
  <c r="D68" i="1"/>
  <c r="D52" i="1"/>
  <c r="D36" i="1"/>
  <c r="D20" i="1"/>
  <c r="D65" i="1"/>
  <c r="D49" i="1"/>
  <c r="D33" i="1"/>
  <c r="D17" i="1"/>
  <c r="D113" i="10"/>
  <c r="D186" i="10"/>
  <c r="D53" i="10"/>
  <c r="D125" i="10"/>
  <c r="D84" i="10"/>
  <c r="D282" i="10"/>
  <c r="D48" i="1"/>
  <c r="D29" i="1"/>
  <c r="D204" i="10"/>
  <c r="D62" i="1"/>
  <c r="D40" i="1"/>
  <c r="D53" i="1"/>
  <c r="D268" i="10"/>
  <c r="D209" i="10"/>
  <c r="D54" i="1"/>
  <c r="D19" i="1"/>
  <c r="D319" i="10"/>
  <c r="D307" i="10"/>
  <c r="D144" i="10"/>
  <c r="D67" i="10"/>
  <c r="D77" i="10"/>
  <c r="D172" i="10"/>
  <c r="D228" i="10"/>
  <c r="D124" i="10"/>
  <c r="D221" i="10"/>
  <c r="D148" i="10"/>
  <c r="D283" i="10"/>
  <c r="D208" i="10"/>
  <c r="D192" i="10"/>
  <c r="D66" i="1"/>
  <c r="D50" i="1"/>
  <c r="D34" i="1"/>
  <c r="D18" i="1"/>
  <c r="D63" i="1"/>
  <c r="D47" i="1"/>
  <c r="D31" i="1"/>
  <c r="D15" i="1"/>
  <c r="D24" i="10"/>
  <c r="D112" i="10"/>
  <c r="D187" i="10"/>
  <c r="D276" i="10"/>
  <c r="D64" i="1"/>
  <c r="D16" i="1"/>
  <c r="D61" i="1"/>
  <c r="D45" i="1"/>
  <c r="D285" i="10"/>
  <c r="D324" i="10"/>
  <c r="D46" i="1"/>
  <c r="D59" i="1"/>
  <c r="D27" i="1"/>
  <c r="D197" i="10"/>
  <c r="D91" i="10"/>
  <c r="D305" i="10"/>
  <c r="D40" i="10"/>
  <c r="D22" i="1"/>
  <c r="D60" i="10"/>
  <c r="D180" i="10"/>
  <c r="D52" i="10"/>
  <c r="D32" i="1"/>
  <c r="D318" i="10"/>
  <c r="D256" i="10"/>
  <c r="D75" i="1"/>
  <c r="D292" i="10"/>
  <c r="D24" i="1"/>
  <c r="D138" i="10"/>
  <c r="D51" i="1"/>
  <c r="D72" i="10"/>
  <c r="D41" i="10"/>
  <c r="D304" i="10"/>
  <c r="D11" i="16"/>
  <c r="D296" i="10"/>
  <c r="D68" i="10"/>
  <c r="D96" i="10"/>
  <c r="D240" i="10"/>
  <c r="D30" i="1"/>
  <c r="D43" i="1"/>
  <c r="D184" i="10"/>
  <c r="D69" i="1"/>
  <c r="D160" i="10"/>
  <c r="D67" i="1"/>
  <c r="D137" i="10"/>
  <c r="D88" i="10"/>
  <c r="D216" i="10"/>
  <c r="D284" i="10"/>
  <c r="D139" i="10"/>
  <c r="D293" i="10"/>
  <c r="D29" i="10"/>
  <c r="D245" i="10"/>
  <c r="D16" i="10"/>
  <c r="D264" i="10"/>
  <c r="D236" i="10"/>
  <c r="D173" i="10"/>
  <c r="D312" i="10"/>
  <c r="D60" i="1"/>
  <c r="D44" i="1"/>
  <c r="D28" i="1"/>
  <c r="D73" i="1"/>
  <c r="D57" i="1"/>
  <c r="D41" i="1"/>
  <c r="D25" i="1"/>
  <c r="D185" i="10"/>
  <c r="D235" i="10"/>
  <c r="D156" i="10"/>
  <c r="D56" i="1"/>
  <c r="D149" i="10"/>
  <c r="D36" i="10"/>
  <c r="D3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<sst xmlns="http://schemas.openxmlformats.org/spreadsheetml/2006/main" count="1295" uniqueCount="275">
  <si>
    <t>Total heures planifiées</t>
  </si>
  <si>
    <t>Total heures réalisées</t>
  </si>
  <si>
    <t xml:space="preserve">Différence  </t>
  </si>
  <si>
    <t>Journal de travail V2.0</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</si>
  <si>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</si>
  <si>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</si>
  <si>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</si>
  <si>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</si>
  <si>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</si>
  <si>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</si>
  <si>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</si>
  <si>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</si>
  <si>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</si>
  <si>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</si>
  <si>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</si>
  <si>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</si>
  <si>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</si>
  <si>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</si>
  <si>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</si>
  <si>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</si>
  <si>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</si>
  <si>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</si>
  <si>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</si>
  <si>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</si>
  <si>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</si>
  <si>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</si>
  <si>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</si>
  <si>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r</t>
  </si>
  <si>
    <t>Analyse - Planification initiale</t>
  </si>
  <si>
    <t>Doc - Journal de travail</t>
  </si>
  <si>
    <t>Doc - Rapport</t>
  </si>
  <si>
    <t>Réalisation - Authentification</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</si>
  <si>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</si>
  <si>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</si>
  <si>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</si>
  <si>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</si>
  <si>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</si>
  <si>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</si>
  <si>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</si>
  <si>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</si>
  <si>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</si>
  <si>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</si>
  <si>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 :</t>
  </si>
  <si>
    <t>N° 2165</t>
  </si>
  <si>
    <t>Adrian Toledo Campoverde</t>
  </si>
  <si>
    <t>CID4B</t>
  </si>
  <si>
    <t>Du 04.05.2026 au 29.05.2026</t>
  </si>
  <si>
    <t xml:space="preserve">Matin </t>
  </si>
  <si>
    <t>Après-midi</t>
  </si>
  <si>
    <t>Doc - GitHub</t>
  </si>
  <si>
    <t>Analyse - Étude technologique</t>
  </si>
  <si>
    <t>Analyse - Context CdC</t>
  </si>
  <si>
    <t>Analyse - Environnement</t>
  </si>
  <si>
    <t>Conception - Base de données</t>
  </si>
  <si>
    <t>Conception - Docker</t>
  </si>
  <si>
    <t>Conception - Architecture technique</t>
  </si>
  <si>
    <t>Conception - Figma low fidelity</t>
  </si>
  <si>
    <t>Conception - Figma high fidelity</t>
  </si>
  <si>
    <t>Réalisation - Docker</t>
  </si>
  <si>
    <t>Réalisation - Base de données</t>
  </si>
  <si>
    <t>Réalisation - API</t>
  </si>
  <si>
    <t>Réalisation - Sécurité</t>
  </si>
  <si>
    <t>Réalisation - Frontend Logique</t>
  </si>
  <si>
    <t>Réalisation - Frontend Interfaces</t>
  </si>
  <si>
    <t>Conception - Plan de tests</t>
  </si>
  <si>
    <t>Test - Intégration</t>
  </si>
  <si>
    <t>Conception - UML</t>
  </si>
  <si>
    <t>Test - E2E</t>
  </si>
  <si>
    <t>Test - Sécurité</t>
  </si>
  <si>
    <t>Analyse - Risques</t>
  </si>
  <si>
    <t xml:space="preserve">Absences - Imprévus </t>
  </si>
  <si>
    <t>Réalisation - Intégration</t>
  </si>
  <si>
    <t>Test - Unitaires</t>
  </si>
  <si>
    <t>Meetings</t>
  </si>
  <si>
    <t>Analyse - Recherche d'informations</t>
  </si>
  <si>
    <t xml:space="preserve">Réunion de lancement du TPI avec l'expert n° 1 et mon chef d'équipe. </t>
  </si>
  <si>
    <t>Lecture du CDC pour en extraire les points essentiels de mon TPI et de ma grille d'évaluation</t>
  </si>
  <si>
    <t>Principales idées concernant la structure du projet, ses outils, ses fonctionnalités et son mode de développement</t>
  </si>
  <si>
    <t>Création d'un planning avec une fréquence de cinq minutes + exportation au format Gantt.</t>
  </si>
  <si>
    <t>Remplir le journal de travail avec le planning prévu.</t>
  </si>
  <si>
    <t>Création d'un document Word destiné à la documentation</t>
  </si>
  <si>
    <t xml:space="preserve">Création d'un dépôt public sur GitHub pour la gestion des versions de mon projet et son arborescences. </t>
  </si>
  <si>
    <t>Description et justification de l'architecture technique du projet.</t>
  </si>
  <si>
    <t>Étude sur les API externes et des anciens projets.</t>
  </si>
  <si>
    <t>Finalisation de la conception de l'architecture technique du projet.</t>
  </si>
  <si>
    <t>Choix des images et des conteneurs dont j'aurai besoin pour mettre en place l'infrastructure de mon projet.</t>
  </si>
  <si>
    <t>Réunion avec le chef de projet pour faire le point sur l'avancement du projet.</t>
  </si>
  <si>
    <t>Maquettes avec boutons, informations, exemples, actions et animations.</t>
  </si>
  <si>
    <t>Adapter des maquettes basse fidélité en haute fidélité pour ajouter des couleurs, des visuels, créer et choisir des logos.</t>
  </si>
  <si>
    <t>Finalisation et correction des schémas et des diagrammes UML.</t>
  </si>
  <si>
    <t>Identification des pages à créer, structure de navigation et éléments nécessaires à leur fonctionnement.</t>
  </si>
  <si>
    <t>Finalisation de la base de données dans MCD et MLD.</t>
  </si>
  <si>
    <t>Identifier les tables et leurs attributs nécessaires à la création d'un MCD et d'un MLD.</t>
  </si>
  <si>
    <t>Préparation du journal de travail pour le partager.</t>
  </si>
  <si>
    <t>Préparation du rapport pour le partager.</t>
  </si>
  <si>
    <t>Créer un fichier initdb.sql contenant la structure de ma base de données.</t>
  </si>
  <si>
    <t>Configurer un environnement Docker avec les conteneurs et les images sélectionnés.</t>
  </si>
  <si>
    <t>Corrections éventuelles, feedback des experts/du chef de projet, et exportation des maquettes.</t>
  </si>
  <si>
    <t>Réalisation - Backend</t>
  </si>
  <si>
    <t xml:space="preserve">Construction de l'arborescence du backend avec les éléments essentiels et le serveur. </t>
  </si>
  <si>
    <t>L'environnement Docker fonctionne correctement avec le backend serveur.</t>
  </si>
  <si>
    <t>L'environnement Docker fonctionne correctement avec initdb.</t>
  </si>
  <si>
    <t xml:space="preserve">Tableau présentant les différents types de tests à effectuer et une liste exhaustive des fonctionnalités possibles de l'application. </t>
  </si>
  <si>
    <t>Intégration des routes avec accès à l'API externe pour effectuer des opérations CRUD sur les jeux vidéo et leur utilisation dans les catalogues et les filtres.</t>
  </si>
  <si>
    <t>Améliorer les mesures de sécurité en respectant la législation sur la protection des données et en renforçant la mise en œuvre face aux menaces informatiques potentielles. Renforcer la sécurité lors de la création des mots de passe et des noms d'utilisateur</t>
  </si>
  <si>
    <t>Création d'une liste de « endpoints » utiles pour mon interface utilisateur.</t>
  </si>
  <si>
    <t>Vérification du bon fonctionnement de l'infrastructure backend serveur-API.</t>
  </si>
  <si>
    <t>Création du projet dans Microsoft Visual Studio 2022 et gestion de sa structure arborescente pour une architecture MVVM + Création des premiers fichiers nécessaires à la connexion au serveur.</t>
  </si>
  <si>
    <t xml:space="preserve">Mettre en place la logique derrière la connexion, la création de compte et l'affichage de mes jeux vidéo. </t>
  </si>
  <si>
    <t>Créer les pages de base pour la connexion, la création de compte et « Ma bibliothèque ».</t>
  </si>
  <si>
    <t>Structurer la logique derrière le système de favoris, les statuts des jeux, la recherche et les filtres.</t>
  </si>
  <si>
    <t>Créer des pages au format low fidelity pour les pages de jeux préférés, modifier l'état des jeux, effectuer des recherches et appliquer des filtres.</t>
  </si>
  <si>
    <t>Finaliser et vérifier la logique des pages créées.</t>
  </si>
  <si>
    <t>Terminer les tâches en suspens concernant la création des pages précédentes.</t>
  </si>
  <si>
    <t>Améliorer les pages front-end en mode haute fidélité.</t>
  </si>
  <si>
    <t>Vérification de l'intégration du front-end avec le back-end.</t>
  </si>
  <si>
    <t>L'application affiche et conserve les paramètres de sécurité définis précédemment.</t>
  </si>
  <si>
    <t>Préparer une version de base du projet afin de lancer sa première version alpha.</t>
  </si>
  <si>
    <t>Finaliser l'application en apportant les dernières touches.</t>
  </si>
  <si>
    <t>Réaliser les tests prévus.</t>
  </si>
  <si>
    <t>Définir la structure finale du projet.</t>
  </si>
  <si>
    <t>Vérifier et affiner les derniers détails de l'application mobile à la suite des derniers retours.</t>
  </si>
  <si>
    <t>Rédiger les derniers chapitres et structurer correctement le projet.</t>
  </si>
  <si>
    <t>Terminer les tests.</t>
  </si>
  <si>
    <t>Rassembler et réaliser tous les tests prévus</t>
  </si>
  <si>
    <t>Intégration des tests dans le rapport.</t>
  </si>
  <si>
    <t>Disposer d'un dépôt Git complet et bien structuré.</t>
  </si>
  <si>
    <t>Correction des derniers bugs ou des retours reçus.</t>
  </si>
  <si>
    <t xml:space="preserve">Finalisation du rapport accompagnant les manuels d'utilisation et d'installation. </t>
  </si>
  <si>
    <t>Fin du rapport.</t>
  </si>
  <si>
    <t>Identifier et analyser les risques techniques du projet. Documentation dans un tableau structuré</t>
  </si>
  <si>
    <t>Préciser l'environnement final en fonction des informations recherchées et les prioritaires du projet.</t>
  </si>
  <si>
    <t>Représentation de l'architecture technique en UML, diagramme de classes, les cas d'utilisation et les flux de pages.</t>
  </si>
  <si>
    <t>Vérification des fonctions CRUD, connexion utilisateur, filtres, favoris et des formulaires.</t>
  </si>
  <si>
    <t>Correction UI, amélioration navigation, optimisation performances et suppression bugs restants.</t>
  </si>
  <si>
    <t>Séquence 27</t>
  </si>
  <si>
    <t>lundi, 1 juin 2026</t>
  </si>
  <si>
    <t>Séquence 26</t>
  </si>
  <si>
    <t>vendredi, 29 mai 2026</t>
  </si>
  <si>
    <t>Séquence 25</t>
  </si>
  <si>
    <t>Séquence 24</t>
  </si>
  <si>
    <t>jeudi, 28 mai 2026</t>
  </si>
  <si>
    <t>Séquence 23</t>
  </si>
  <si>
    <t>Séquence 22</t>
  </si>
  <si>
    <t>mercredi, 27 mai 2026</t>
  </si>
  <si>
    <t>Séquence 21</t>
  </si>
  <si>
    <t>Séquence 20</t>
  </si>
  <si>
    <t>vendredi, 22 mai 2026</t>
  </si>
  <si>
    <t>Séquence 19</t>
  </si>
  <si>
    <t>Séquence 18</t>
  </si>
  <si>
    <t>jeudi, 21 mai 2026</t>
  </si>
  <si>
    <t>Séquence 17</t>
  </si>
  <si>
    <t>Séquence 16</t>
  </si>
  <si>
    <t>mercredi, 20 mai 2026</t>
  </si>
  <si>
    <t>Séquence 15</t>
  </si>
  <si>
    <t>Séquence 14</t>
  </si>
  <si>
    <t>lundi, 18 mai 2026</t>
  </si>
  <si>
    <t>Séquence 13</t>
  </si>
  <si>
    <t>Séquence 12</t>
  </si>
  <si>
    <t>mercredi, 13 mai 2026</t>
  </si>
  <si>
    <t>Séquence 11</t>
  </si>
  <si>
    <t>Séquence 10</t>
  </si>
  <si>
    <t>lundi, 11 mai 2026</t>
  </si>
  <si>
    <t>Séquence 9</t>
  </si>
  <si>
    <t>Séquence 8</t>
  </si>
  <si>
    <t>vendredi, 8 mai 2026</t>
  </si>
  <si>
    <t>Séquence 7</t>
  </si>
  <si>
    <t>Séquence 6</t>
  </si>
  <si>
    <t>jeudi, 7 mai 2026</t>
  </si>
  <si>
    <t>Séquence 5</t>
  </si>
  <si>
    <t>Séquence 4</t>
  </si>
  <si>
    <t>mercredi, 6 mai 2026</t>
  </si>
  <si>
    <t>lundi, 4 mai 2026</t>
  </si>
  <si>
    <t>Envoyer planning prévu et régler les minutes.</t>
  </si>
  <si>
    <t>Clarifier plusieurs points concernant le TPI avec mon chef d'équipe : utilisation d'API publiques externes et fonctionnalités supplémentaires.</t>
  </si>
  <si>
    <t>Analyse des projets antérieurs afin de déterminer les fonctionnalités à réutiliser</t>
  </si>
  <si>
    <t>Rechercher des API publiques et des applications similaires</t>
  </si>
  <si>
    <t>Fin des premiers chapitres avec les fonctionnalités, exigences et risques.</t>
  </si>
  <si>
    <t>Conception de l'organisation technique du projet, des outils à utiliser, ainsi que de la répartition des tâches et de la communication entre le front-end et le back-end.</t>
  </si>
  <si>
    <t>Réutilisation de l'infrastructure Docker d'anciens projets similaires</t>
  </si>
  <si>
    <t xml:space="preserve">Remplir le journal de travail et l'envoyer </t>
  </si>
  <si>
    <t xml:space="preserve">Corriger les erreurs et les textes traduits avec Deepl. Enregistrer au format PDF pour le partager. </t>
  </si>
  <si>
    <t>https://www.deepl.com/fr/translator</t>
  </si>
  <si>
    <t xml:space="preserve">https://www.planttext.com/  </t>
  </si>
  <si>
    <t xml:space="preserve">Transmettre les informations descriptives du projet afin de réaliser un schéma.  IA : aide à la création de code pour l'implémentation dans UML planttext.com. Promt : </t>
  </si>
  <si>
    <t>https://github.com/Adrtoledocam/TPI_2165</t>
  </si>
  <si>
    <t>https://api.rawg.io/docs/</t>
  </si>
  <si>
    <t>justification et comparaisons du choix de l'API sur le rapport</t>
  </si>
  <si>
    <t>Validation par le chef de projet des aspects suivants : choix de l'API, architecture des pages, MCD/MLD et nom de l'application Arcaludo.</t>
  </si>
  <si>
    <t>Début des pages en basse fidélité : page d'inscription, connexion, profil, paramètres, listes de souhaits et listes de souhaits réalisés. Ma collection et ma bibliothèque pour corriger et modifier des éléments. Tout est enregistré dans Figma.</t>
  </si>
  <si>
    <t>https://www.figma.com/</t>
  </si>
  <si>
    <t>Conception du premier prototype de logo et d'icône créés dans Figma</t>
  </si>
  <si>
    <t>Correction de petits détails sur les relations de tableaux après la discussion avec le professeur</t>
  </si>
  <si>
    <t>choix du nom, étude des noms possibles, de leur disponibilité et de leur signification appropriée. Cela a pris plus de temps que prévu, car je voulais un nom original, unique et cohérent.</t>
  </si>
  <si>
    <t>Flux complet pour l'identification, l'authentification, la liste de souhaits et le profil</t>
  </si>
  <si>
    <t>Réalisation d'un schéma MCD et MLD avec LOOPING ( tables et de leurs relations)</t>
  </si>
  <si>
    <t>Flux complet pour la communauté et premières tentatives de page de ma collection (en attente de validation par mon chef d'équipe)</t>
  </si>
  <si>
    <t>Insertion des derniers schémas et justifications en français</t>
  </si>
  <si>
    <t>Mise à jour</t>
  </si>
  <si>
    <t>Justification du choix de flux des pages</t>
  </si>
  <si>
    <t>Modèle de base du Pixel 7 et préparation pour la basse fidélité</t>
  </si>
  <si>
    <t>Améliorer les modèles avec diagramas.io</t>
  </si>
  <si>
    <t>Début de conception de maquettes avec détails et exemples : connexion, création d'un compte, profil et paramètres.</t>
  </si>
  <si>
    <t>Suite de la conception des maquettes : page consacrée à ma collection, ma bibliothèque, liste de souhaits. Il reste à créer la page communautaire et les détails du jeu.</t>
  </si>
  <si>
    <t xml:space="preserve">Finalisation des maquettes : page de détails et section communauté terminées. </t>
  </si>
  <si>
    <t xml:space="preserve">présentation des propositions de logos au chef de projet, présentation des maquettes pour obtenir son avis. </t>
  </si>
  <si>
    <t>Correction des maquettes en tenant compte des feedbacks reçus</t>
  </si>
  <si>
    <t>Création d'un conteneur Docker destiné à héberger Node.js, MySQL et phpMyAdmin.</t>
  </si>
  <si>
    <t>Justifier l'avancement des travaux : choix du logo, implémentation des maquettes basse et haute fidélité, choix des palettes de couleurs et présentation des éléments utilisés (typographie, boutons, encadrés...).</t>
  </si>
  <si>
    <t>Mise à jour de mon journal</t>
  </si>
  <si>
    <t>Lancement du backend : installation des outils, des extensions npm, préparation du dossier GitHub et arborescence du backend, reprendre code des autres projets.</t>
  </si>
  <si>
    <t>Création du fichier initdb (adaptation du code de Looping à MySQL). Implémentation du code app/server.mjs pour lancer le backend et ficher env.</t>
  </si>
  <si>
    <t>Création de routes dédiées à l'authentification, mise en place de la vérification et de la sécurité concernant le nom d'utilisateur, le mot de passe et l'adresse e-mail.</t>
  </si>
  <si>
    <t>Restauration des fichiers d’authentification et de la base de données. Problèmes lors de l’enregistrement et du push Git, corrigés</t>
  </si>
  <si>
    <t>Récupération API key + données de jeux du RAWG</t>
  </si>
  <si>
    <t>CRUD basique de la collection. Mise en place des opérations principales sur les jeux de la collection.</t>
  </si>
  <si>
    <t>Tests CRUD. Le PUT ne fonctionnait pas à cause d’un nom de champ incorrect.</t>
  </si>
  <si>
    <t>Problèmes de noms dans le code et données API incomplètes → ajustements + mise à jour des maquettes.</t>
  </si>
  <si>
    <t>Correction de bugs et nettoyage du code</t>
  </si>
  <si>
    <t>Création et mise en place des routes liées au profil utilisateur.</t>
  </si>
  <si>
    <t xml:space="preserve">Ajout des routes pour les préférences utilisateur et l’accès à la communauté.
</t>
  </si>
  <si>
    <t>Ajout de filtres supplémentaires et de recherche sur texte</t>
  </si>
  <si>
    <t xml:space="preserve">Discussion sur l’avancement et validation des choix techniques.
</t>
  </si>
  <si>
    <t>Retour du chef de projet, corrections et améliorations suite au feedback reçu.</t>
  </si>
  <si>
    <t>Vérification complète des routes et rédaction de la documentation associée</t>
  </si>
  <si>
    <t>Meeting avec l'expert 2</t>
  </si>
  <si>
    <t>Configuration d’ApiService  : adaptation du service pour communiquer correctement avec le backend. Création des modèles  : Modèles Game, User, Community et Collection.</t>
  </si>
  <si>
    <t>Ajouter images, pages, icones et logo. Modification du splash et appicon</t>
  </si>
  <si>
    <t>Pages d’authentification avec images et couleurs</t>
  </si>
  <si>
    <t xml:space="preserve">Page de profil créée à partir de données personnelles, d'icônes, de boutons colorés et d'un système de couleurs pour les statistiques. </t>
  </si>
  <si>
    <t>Page de la collection terminée ! Elle comporte des couleurs et des icônes, mais il y a des problèmes d'affichage des images des jeux vidéo.
Page de détails sur les jeux créée mais non finalisée : il manque encore l'affichage des plateformes et des informations personnelles.</t>
  </si>
  <si>
    <t xml:space="preserve">Logique pour la page de détails du jeu. Quelques difficultés avec les données personnelles et leur enregistrement avec les plateformes, mais c'est fait. </t>
  </si>
  <si>
    <t xml:space="preserve"> création des interfaces MAUI pour la Bibliothèque, les Favoris, la Communauté, le Profil </t>
  </si>
  <si>
    <t>1.7 Réalisation, 1.9 Livraison, 2 Documentation du produit (2/5)</t>
  </si>
  <si>
    <t>test : ajout de tests d'intégration sur le rapport et validation avec l'application.</t>
  </si>
  <si>
    <t>Finalisation de la page de détails du jeu avec une fonctionnalité permettant de sélectionner les plateformes en fonction de les données du jeu (plus de plateformes prédéfinies)</t>
  </si>
  <si>
    <t>Corriger certains messages d'action afin de respecter les tests d'intégration</t>
  </si>
  <si>
    <t xml:space="preserve">Compléter les versions du projet et le glossaire, ajouter les classes conformément aux diagrammes de classes de MS2022. Ajuster et centrer les images. </t>
  </si>
  <si>
    <t>Rédaction du 2.5 Code et élaboration du schéma général de l'infrastructure de l'application.</t>
  </si>
  <si>
    <t>Correction des dernières bugs : redirection vers une page erronée, bouton non désactivé lorsqu'il n'est pas utilisé, réactivation du tri par ordre alphabétique</t>
  </si>
  <si>
    <t>Conclusion, résumé du rapport et bibliographie + Ajuter le tableau d'images, corriger l'orthographe et aligner les tableaux</t>
  </si>
  <si>
    <t>Légendes des dernières photos ajoutées et le journal de travail</t>
  </si>
  <si>
    <t>Obtenir une version définitive sur Git</t>
  </si>
  <si>
    <t>Test : préparation de Visual 2022 pour effectuer des tests unitaires. Bug : Maui n'est pas compatible avec l'environnement de test ; modifier les paramètres pour qu'il fonctionne avec le Framework Maui. 8 tests effectués sur les jeux et la manette de jeu.</t>
  </si>
  <si>
    <t xml:space="preserve">Finalisation logique pour profil avec le backend. Système de déconnexion réussi. </t>
  </si>
  <si>
    <t>Création d'une logique adaptée à ma collection avec le système de filtres. Problèmes avec le display d'images</t>
  </si>
  <si>
    <t xml:space="preserve">Logique d’authentification avec gestion du token et validation. Tests réalisé. Petits bug trouvé avec la sélection de mainpage.
</t>
  </si>
  <si>
    <t xml:space="preserve">Logique pour profil : récupérer données, les statistiques et ajouter bouton partager
</t>
  </si>
  <si>
    <t>Bug avec le filtre A-Z réussit</t>
  </si>
  <si>
    <t>Implémentation des TEST endpoints pour vérifier et correction de plusieurs erreurs dans le code.</t>
  </si>
  <si>
    <t>Routes : Implémentation des routes pour les tendances et la recherche de jeux et détails</t>
  </si>
  <si>
    <t>Avancer sur les descriptions des images et diagrammes.</t>
  </si>
  <si>
    <t>Vérification rapide avec Thunder Client test login et registre</t>
  </si>
  <si>
    <t xml:space="preserve">Commit réalisés pour chaque tâche du travail. </t>
  </si>
  <si>
    <t>gestion des pages (Bibliothèque, Favoris, Communauté, Profil, Détails), appels API via Api Service, récupération et affichage des données, activation de la communauté.</t>
  </si>
  <si>
    <t>Lancement de projet MAUI de l’application mobile et préparation pour la communication avec le serveur</t>
  </si>
  <si>
    <t xml:space="preserve">Création et mise en place des routes liées au wishlist.
</t>
  </si>
  <si>
    <t>Finalisation de page pour la bibliothèque, ma collection et détails sur les jeux.</t>
  </si>
  <si>
    <t>Correction de petits détails après la discussion avec le professeur et flux pour la bibliothèque API</t>
  </si>
  <si>
    <t>Exportation des tables et réalisation du initdb avec Looping</t>
  </si>
  <si>
    <t>Présentation du projet, sélection des noms pour l'app, ainsi que du contexte, du mandat, de la méthodologie et de l'organisation.</t>
  </si>
  <si>
    <t>Analyse - Contexte CdC</t>
  </si>
  <si>
    <t xml:space="preserve">Les principales tâches sont réparties entre l'analyse, l'implémentation (conception et réalisation), les tests et la documentation. </t>
  </si>
  <si>
    <t xml:space="preserve">Implémentation des TEST endpoints pour vérifier les profil et wishlist
</t>
  </si>
  <si>
    <t>Ajouter les dernières tâches et prendre les derniers graphiques du journal de travail.</t>
  </si>
  <si>
    <t>Mise en page du rapport, insertion captures écran, tests et bilan personnel.</t>
  </si>
  <si>
    <t>Création de chemins d'accès destinés à l'utilisateur pour créer une liste de favoris et modifier l'état des jeux vidéos sauvegardées (Partie 2/2)</t>
  </si>
  <si>
    <t>Création de chemins d'accès destinés à l'utilisateur pour créer une liste de favoris et modifier l'état des jeux vidéos sauvegardées (Partie 1/2)</t>
  </si>
  <si>
    <t>Implémentation du système d'authentification JWT : routes registrer/login, hachage des mots de passe avec bcryptjs, génération et validation des tokens, et middleware.</t>
  </si>
  <si>
    <t xml:space="preserve">Recherche d'informations relatives aux jeux vidéo, bases de données sécurisé et ces droits, API externes et autres applications similaires. </t>
  </si>
  <si>
    <t>Rédaction du fichier README, vérifier l'arborescence du projet et réaliser une version de l'app</t>
  </si>
  <si>
    <t>Vérifier et imprimer le rapport et l'envoyer par e-mail.</t>
  </si>
  <si>
    <t>89h 25 min</t>
  </si>
  <si>
    <t>89h</t>
  </si>
  <si>
    <t>-  25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</si>
</sst>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19" borderId="55" xfId="0" applyFont="1" applyFill="1" applyBorder="1"/>
    <xf numFmtId="0" fontId="2" fillId="19" borderId="24" xfId="0" applyFont="1" applyFill="1" applyBorder="1"/>
    <xf numFmtId="0" fontId="2" fillId="19" borderId="72" xfId="0" applyFont="1" applyFill="1" applyBorder="1"/>
    <xf numFmtId="0" fontId="0" fillId="0" borderId="0" xfId="0" applyAlignment="1">
      <alignment vertical="top"/>
    </xf>
    <xf numFmtId="0" fontId="0" fillId="0" borderId="0" xfId="0" applyAlignment="1">
      <alignment wrapText="1"/>
    </xf>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28" xfId="0" applyFont="1" applyFill="1" applyBorder="1"/>
    <xf numFmtId="0" fontId="2" fillId="21" borderId="56" xfId="0" applyFont="1" applyFill="1" applyBorder="1"/>
    <xf numFmtId="0" fontId="2" fillId="21" borderId="54" xfId="0" applyFont="1" applyFill="1" applyBorder="1"/>
    <xf numFmtId="0" fontId="2" fillId="21" borderId="78" xfId="0" applyFont="1" applyFill="1" applyBorder="1"/>
    <xf numFmtId="0" fontId="2" fillId="21" borderId="27" xfId="0" applyFont="1" applyFill="1" applyBorder="1"/>
    <xf numFmtId="0" fontId="2" fillId="21" borderId="73" xfId="0" applyFont="1" applyFill="1" applyBorder="1"/>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18" fillId="9" borderId="5" xfId="0" applyFont="1" applyFill="1" applyBorder="1" applyAlignment="1">
      <alignment horizontal="center"/>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9" fillId="5" borderId="80" xfId="0" applyFont="1" applyFill="1" applyBorder="1" applyAlignment="1" applyProtection="1">
      <alignment horizontal="center" vertical="center" wrapText="1"/>
      <protection locked="0"/>
    </xf>
    <xf numFmtId="0" fontId="9" fillId="5" borderId="52" xfId="0" applyFont="1" applyFill="1" applyBorder="1"/>
    <xf numFmtId="166" fontId="9" fillId="5" borderId="81" xfId="0" applyNumberFormat="1" applyFont="1" applyFill="1" applyBorder="1" applyAlignment="1" applyProtection="1">
      <alignment horizontal="center" vertical="center" wrapText="1"/>
      <protection locked="0"/>
    </xf>
    <xf numFmtId="166" fontId="9" fillId="5" borderId="65" xfId="0" applyNumberFormat="1" applyFont="1" applyFill="1" applyBorder="1" applyAlignment="1" applyProtection="1">
      <alignment horizontal="center" vertical="center" wrapText="1"/>
      <protection locked="0"/>
    </xf>
    <xf numFmtId="166" fontId="9" fillId="5" borderId="81" xfId="0" applyNumberFormat="1" applyFont="1" applyFill="1" applyBorder="1" applyAlignment="1">
      <alignment horizontal="center"/>
    </xf>
  </cellXfs>
  <cellStyles count="2">
    <cellStyle name="Hipervínculo"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2"/>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CFB-4FA3-90AD-9521DE293FCE}"/>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CFB-4FA3-90AD-9521DE293FCE}"/>
                </c:ext>
              </c:extLst>
            </c:dLbl>
            <c:dLbl>
              <c:idx val="4"/>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CFB-4FA3-90AD-9521DE293FCE}"/>
                </c:ext>
              </c:extLst>
            </c:dLbl>
            <c:dLbl>
              <c:idx val="5"/>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CFB-4FA3-90AD-9521DE293FCE}"/>
                </c:ext>
              </c:extLst>
            </c:dLbl>
            <c:dLbl>
              <c:idx val="6"/>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CFB-4FA3-90AD-9521DE293FCE}"/>
                </c:ext>
              </c:extLst>
            </c:dLbl>
            <c:dLbl>
              <c:idx val="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CFB-4FA3-90AD-9521DE293FCE}"/>
                </c:ext>
              </c:extLst>
            </c:dLbl>
            <c:dLbl>
              <c:idx val="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CFB-4FA3-90AD-9521DE293FCE}"/>
                </c:ext>
              </c:extLst>
            </c:dLbl>
            <c:dLbl>
              <c:idx val="9"/>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CFB-4FA3-90AD-9521DE293FCE}"/>
                </c:ext>
              </c:extLst>
            </c:dLbl>
            <c:dLbl>
              <c:idx val="10"/>
              <c:tx>
                <c:rich>
                  <a:bodyPr/>
                  <a:lstStyle/>
                  <a:p>
                    <a:r>
                      <a:rPr lang="en-US"/>
                      <a:t>6h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CFB-4FA3-90AD-9521DE293FCE}"/>
                </c:ext>
              </c:extLst>
            </c:dLbl>
            <c:dLbl>
              <c:idx val="11"/>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CFB-4FA3-90AD-9521DE293FCE}"/>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CFB-4FA3-90AD-9521DE293FCE}"/>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CFB-4FA3-90AD-9521DE293FCE}"/>
                </c:ext>
              </c:extLst>
            </c:dLbl>
            <c:dLbl>
              <c:idx val="14"/>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CFB-4FA3-90AD-9521DE293FCE}"/>
                </c:ext>
              </c:extLst>
            </c:dLbl>
            <c:dLbl>
              <c:idx val="15"/>
              <c:tx>
                <c:rich>
                  <a:bodyPr/>
                  <a:lstStyle/>
                  <a:p>
                    <a:r>
                      <a:rPr lang="en-US"/>
                      <a:t>1h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CFB-4FA3-90AD-9521DE293FCE}"/>
                </c:ext>
              </c:extLst>
            </c:dLbl>
            <c:dLbl>
              <c:idx val="16"/>
              <c:tx>
                <c:rich>
                  <a:bodyPr/>
                  <a:lstStyle/>
                  <a:p>
                    <a:r>
                      <a:rPr lang="en-US"/>
                      <a:t>11h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CFB-4FA3-90AD-9521DE293FCE}"/>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CFB-4FA3-90AD-9521DE293FCE}"/>
                </c:ext>
              </c:extLst>
            </c:dLbl>
            <c:dLbl>
              <c:idx val="18"/>
              <c:tx>
                <c:rich>
                  <a:bodyPr/>
                  <a:lstStyle/>
                  <a:p>
                    <a:r>
                      <a:rPr lang="en-US"/>
                      <a:t>5h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CFB-4FA3-90AD-9521DE293FCE}"/>
                </c:ext>
              </c:extLst>
            </c:dLbl>
            <c:dLbl>
              <c:idx val="19"/>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CFB-4FA3-90AD-9521DE293FCE}"/>
                </c:ext>
              </c:extLst>
            </c:dLbl>
            <c:dLbl>
              <c:idx val="20"/>
              <c:tx>
                <c:rich>
                  <a:bodyPr/>
                  <a:lstStyle/>
                  <a:p>
                    <a:r>
                      <a:rPr lang="en-US"/>
                      <a:t>5h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CFB-4FA3-90AD-9521DE293FCE}"/>
                </c:ext>
              </c:extLst>
            </c:dLbl>
            <c:dLbl>
              <c:idx val="2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CFB-4FA3-90AD-9521DE293FCE}"/>
                </c:ext>
              </c:extLst>
            </c:dLbl>
            <c:dLbl>
              <c:idx val="22"/>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CFB-4FA3-90AD-9521DE293FCE}"/>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CFB-4FA3-90AD-9521DE293FCE}"/>
                </c:ext>
              </c:extLst>
            </c:dLbl>
            <c:dLbl>
              <c:idx val="24"/>
              <c:tx>
                <c:rich>
                  <a:bodyPr/>
                  <a:lstStyle/>
                  <a:p>
                    <a:r>
                      <a:rPr lang="en-US"/>
                      <a:t>10h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CCFB-4FA3-90AD-9521DE293FCE}"/>
                </c:ext>
              </c:extLst>
            </c:dLbl>
            <c:dLbl>
              <c:idx val="25"/>
              <c:tx>
                <c:rich>
                  <a:bodyPr/>
                  <a:lstStyle/>
                  <a:p>
                    <a:r>
                      <a:rPr lang="en-US"/>
                      <a:t>5h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CCFB-4FA3-90AD-9521DE293FCE}"/>
                </c:ext>
              </c:extLst>
            </c:dLbl>
            <c:dLbl>
              <c:idx val="26"/>
              <c:tx>
                <c:rich>
                  <a:bodyPr/>
                  <a:lstStyle/>
                  <a:p>
                    <a:r>
                      <a:rPr lang="en-US"/>
                      <a:t>2h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CCFB-4FA3-90AD-9521DE293FCE}"/>
                </c:ext>
              </c:extLst>
            </c:dLbl>
            <c:dLbl>
              <c:idx val="27"/>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CCFB-4FA3-90AD-9521DE293FCE}"/>
                </c:ext>
              </c:extLst>
            </c:dLbl>
            <c:dLbl>
              <c:idx val="28"/>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CCFB-4FA3-90AD-9521DE293FCE}"/>
                </c:ext>
              </c:extLst>
            </c:dLbl>
            <c:dLbl>
              <c:idx val="29"/>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CCFB-4FA3-90AD-9521DE293FCE}"/>
                </c:ext>
              </c:extLst>
            </c:dLbl>
            <c:dLbl>
              <c:idx val="30"/>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CCFB-4FA3-90AD-9521DE293FCE}"/>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1"/>
              <c:pt idx="0">
                <c:v>Absences - Imprévus </c:v>
              </c:pt>
              <c:pt idx="1">
                <c:v>Analyse - Context CdC</c:v>
              </c:pt>
              <c:pt idx="2">
                <c:v>Analyse - Environnement</c:v>
              </c:pt>
              <c:pt idx="3">
                <c:v>Analyse - Étude technologique</c:v>
              </c:pt>
              <c:pt idx="4">
                <c:v>Analyse - Planification initiale</c:v>
              </c:pt>
              <c:pt idx="5">
                <c:v>Analyse - Recherche d'informations</c:v>
              </c:pt>
              <c:pt idx="6">
                <c:v>Analyse - Risques</c:v>
              </c:pt>
              <c:pt idx="7">
                <c:v>Conception - Architecture technique</c:v>
              </c:pt>
              <c:pt idx="8">
                <c:v>Conception - Base de données</c:v>
              </c:pt>
              <c:pt idx="9">
                <c:v>Conception - Docker</c:v>
              </c:pt>
              <c:pt idx="10">
                <c:v>Conception - Figma high fidelity</c:v>
              </c:pt>
              <c:pt idx="11">
                <c:v>Conception - Figma low fidelity</c:v>
              </c:pt>
              <c:pt idx="12">
                <c:v>Conception - Plan de tests</c:v>
              </c:pt>
              <c:pt idx="13">
                <c:v>Conception - UML</c:v>
              </c:pt>
              <c:pt idx="14">
                <c:v>Doc - GitHub</c:v>
              </c:pt>
              <c:pt idx="15">
                <c:v>Doc - Journal de travail</c:v>
              </c:pt>
              <c:pt idx="16">
                <c:v>Doc - Rapport</c:v>
              </c:pt>
              <c:pt idx="17">
                <c:v>Meetings</c:v>
              </c:pt>
              <c:pt idx="18">
                <c:v>Réalisation - API</c:v>
              </c:pt>
              <c:pt idx="19">
                <c:v>Réalisation - Authentification</c:v>
              </c:pt>
              <c:pt idx="20">
                <c:v>Réalisation - Backend</c:v>
              </c:pt>
              <c:pt idx="21">
                <c:v>Réalisation - Base de données</c:v>
              </c:pt>
              <c:pt idx="22">
                <c:v>Réalisation - Docker</c:v>
              </c:pt>
              <c:pt idx="23">
                <c:v>Réalisation - Frontend Interfaces</c:v>
              </c:pt>
              <c:pt idx="24">
                <c:v>Réalisation - Frontend Logique</c:v>
              </c:pt>
              <c:pt idx="25">
                <c:v>Réalisation - Intégration</c:v>
              </c:pt>
              <c:pt idx="26">
                <c:v>Réalisation - Sécurité</c:v>
              </c:pt>
              <c:pt idx="27">
                <c:v>Test - E2E</c:v>
              </c:pt>
              <c:pt idx="28">
                <c:v>Test - Intégration</c:v>
              </c:pt>
              <c:pt idx="29">
                <c:v>Test - Sécurité</c:v>
              </c:pt>
              <c:pt idx="30">
                <c:v>Test - Unitaires</c:v>
              </c:pt>
            </c:strLit>
          </c:cat>
          <c:val>
            <c:numLit>
              <c:formatCode>General</c:formatCode>
              <c:ptCount val="31"/>
              <c:pt idx="0">
                <c:v>0</c:v>
              </c:pt>
              <c:pt idx="1">
                <c:v>0</c:v>
              </c:pt>
              <c:pt idx="2">
                <c:v>21</c:v>
              </c:pt>
              <c:pt idx="3">
                <c:v>12</c:v>
              </c:pt>
              <c:pt idx="4">
                <c:v>27</c:v>
              </c:pt>
              <c:pt idx="5">
                <c:v>9</c:v>
              </c:pt>
              <c:pt idx="6">
                <c:v>9</c:v>
              </c:pt>
              <c:pt idx="7">
                <c:v>15</c:v>
              </c:pt>
              <c:pt idx="8">
                <c:v>20</c:v>
              </c:pt>
              <c:pt idx="9">
                <c:v>5</c:v>
              </c:pt>
              <c:pt idx="10">
                <c:v>74</c:v>
              </c:pt>
              <c:pt idx="11">
                <c:v>33</c:v>
              </c:pt>
              <c:pt idx="12">
                <c:v>18</c:v>
              </c:pt>
              <c:pt idx="13">
                <c:v>18</c:v>
              </c:pt>
              <c:pt idx="14">
                <c:v>13</c:v>
              </c:pt>
              <c:pt idx="15">
                <c:v>23</c:v>
              </c:pt>
              <c:pt idx="16">
                <c:v>141</c:v>
              </c:pt>
              <c:pt idx="17">
                <c:v>15</c:v>
              </c:pt>
              <c:pt idx="18">
                <c:v>66</c:v>
              </c:pt>
              <c:pt idx="19">
                <c:v>21</c:v>
              </c:pt>
              <c:pt idx="20">
                <c:v>60</c:v>
              </c:pt>
              <c:pt idx="21">
                <c:v>14</c:v>
              </c:pt>
              <c:pt idx="22">
                <c:v>11</c:v>
              </c:pt>
              <c:pt idx="23">
                <c:v>94</c:v>
              </c:pt>
              <c:pt idx="24">
                <c:v>131</c:v>
              </c:pt>
              <c:pt idx="25">
                <c:v>71</c:v>
              </c:pt>
              <c:pt idx="26">
                <c:v>34</c:v>
              </c:pt>
              <c:pt idx="27">
                <c:v>27</c:v>
              </c:pt>
              <c:pt idx="28">
                <c:v>43</c:v>
              </c:pt>
              <c:pt idx="29">
                <c:v>13</c:v>
              </c:pt>
              <c:pt idx="30">
                <c:v>35</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2"/>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3A8-4A6F-8FA6-74ADF089D8DB}"/>
                </c:ext>
              </c:extLst>
            </c:dLbl>
            <c:dLbl>
              <c:idx val="3"/>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3A8-4A6F-8FA6-74ADF089D8DB}"/>
                </c:ext>
              </c:extLst>
            </c:dLbl>
            <c:dLbl>
              <c:idx val="4"/>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D3A8-4A6F-8FA6-74ADF089D8DB}"/>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3A8-4A6F-8FA6-74ADF089D8DB}"/>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D3A8-4A6F-8FA6-74ADF089D8DB}"/>
                </c:ext>
              </c:extLst>
            </c:dLbl>
            <c:dLbl>
              <c:idx val="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3A8-4A6F-8FA6-74ADF089D8DB}"/>
                </c:ext>
              </c:extLst>
            </c:dLbl>
            <c:dLbl>
              <c:idx val="8"/>
              <c:tx>
                <c:rich>
                  <a:bodyPr/>
                  <a:lstStyle/>
                  <a:p>
                    <a:r>
                      <a:rPr lang="en-US"/>
                      <a:t>2h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D3A8-4A6F-8FA6-74ADF089D8DB}"/>
                </c:ext>
              </c:extLst>
            </c:dLbl>
            <c:dLbl>
              <c:idx val="9"/>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3A8-4A6F-8FA6-74ADF089D8DB}"/>
                </c:ext>
              </c:extLst>
            </c:dLbl>
            <c:dLbl>
              <c:idx val="10"/>
              <c:tx>
                <c:rich>
                  <a:bodyPr/>
                  <a:lstStyle/>
                  <a:p>
                    <a:r>
                      <a:rPr lang="en-US"/>
                      <a:t>6h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D3A8-4A6F-8FA6-74ADF089D8DB}"/>
                </c:ext>
              </c:extLst>
            </c:dLbl>
            <c:dLbl>
              <c:idx val="11"/>
              <c:tx>
                <c:rich>
                  <a:bodyPr/>
                  <a:lstStyle/>
                  <a:p>
                    <a:r>
                      <a:rPr lang="en-US"/>
                      <a:t>4h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3A8-4A6F-8FA6-74ADF089D8DB}"/>
                </c:ext>
              </c:extLst>
            </c:dLbl>
            <c:dLbl>
              <c:idx val="13"/>
              <c:tx>
                <c:rich>
                  <a:bodyPr/>
                  <a:lstStyle/>
                  <a:p>
                    <a:r>
                      <a:rPr lang="en-US"/>
                      <a:t>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D3A8-4A6F-8FA6-74ADF089D8DB}"/>
                </c:ext>
              </c:extLst>
            </c:dLbl>
            <c:dLbl>
              <c:idx val="14"/>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3A8-4A6F-8FA6-74ADF089D8DB}"/>
                </c:ext>
              </c:extLst>
            </c:dLbl>
            <c:dLbl>
              <c:idx val="15"/>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D3A8-4A6F-8FA6-74ADF089D8DB}"/>
                </c:ext>
              </c:extLst>
            </c:dLbl>
            <c:dLbl>
              <c:idx val="16"/>
              <c:tx>
                <c:rich>
                  <a:bodyPr/>
                  <a:lstStyle/>
                  <a:p>
                    <a:r>
                      <a:rPr lang="en-US"/>
                      <a:t>15h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D3A8-4A6F-8FA6-74ADF089D8DB}"/>
                </c:ext>
              </c:extLst>
            </c:dLbl>
            <c:dLbl>
              <c:idx val="17"/>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D3A8-4A6F-8FA6-74ADF089D8DB}"/>
                </c:ext>
              </c:extLst>
            </c:dLbl>
            <c:dLbl>
              <c:idx val="18"/>
              <c:tx>
                <c:rich>
                  <a:bodyPr/>
                  <a:lstStyle/>
                  <a:p>
                    <a:r>
                      <a:rPr lang="en-US"/>
                      <a:t>7h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D3A8-4A6F-8FA6-74ADF089D8DB}"/>
                </c:ext>
              </c:extLst>
            </c:dLbl>
            <c:dLbl>
              <c:idx val="19"/>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D3A8-4A6F-8FA6-74ADF089D8DB}"/>
                </c:ext>
              </c:extLst>
            </c:dLbl>
            <c:dLbl>
              <c:idx val="20"/>
              <c:tx>
                <c:rich>
                  <a:bodyPr/>
                  <a:lstStyle/>
                  <a:p>
                    <a:r>
                      <a:rPr lang="en-US"/>
                      <a:t>2h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D3A8-4A6F-8FA6-74ADF089D8DB}"/>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D3A8-4A6F-8FA6-74ADF089D8DB}"/>
                </c:ext>
              </c:extLst>
            </c:dLbl>
            <c:dLbl>
              <c:idx val="22"/>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D3A8-4A6F-8FA6-74ADF089D8DB}"/>
                </c:ext>
              </c:extLst>
            </c:dLbl>
            <c:dLbl>
              <c:idx val="23"/>
              <c:tx>
                <c:rich>
                  <a:bodyPr/>
                  <a:lstStyle/>
                  <a:p>
                    <a:r>
                      <a:rPr lang="en-US"/>
                      <a:t>7h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D3A8-4A6F-8FA6-74ADF089D8DB}"/>
                </c:ext>
              </c:extLst>
            </c:dLbl>
            <c:dLbl>
              <c:idx val="24"/>
              <c:tx>
                <c:rich>
                  <a:bodyPr/>
                  <a:lstStyle/>
                  <a:p>
                    <a:r>
                      <a:rPr lang="en-US"/>
                      <a:t>12h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D3A8-4A6F-8FA6-74ADF089D8DB}"/>
                </c:ext>
              </c:extLst>
            </c:dLbl>
            <c:dLbl>
              <c:idx val="25"/>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D3A8-4A6F-8FA6-74ADF089D8DB}"/>
                </c:ext>
              </c:extLst>
            </c:dLbl>
            <c:dLbl>
              <c:idx val="27"/>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D3A8-4A6F-8FA6-74ADF089D8DB}"/>
                </c:ext>
              </c:extLst>
            </c:dLbl>
            <c:dLbl>
              <c:idx val="28"/>
              <c:tx>
                <c:rich>
                  <a:bodyPr/>
                  <a:lstStyle/>
                  <a:p>
                    <a:r>
                      <a:rPr lang="en-US"/>
                      <a:t>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D3A8-4A6F-8FA6-74ADF089D8DB}"/>
                </c:ext>
              </c:extLst>
            </c:dLbl>
            <c:dLbl>
              <c:idx val="30"/>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D3A8-4A6F-8FA6-74ADF089D8DB}"/>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31"/>
              <c:pt idx="0">
                <c:v>0</c:v>
              </c:pt>
              <c:pt idx="1">
                <c:v>0</c:v>
              </c:pt>
              <c:pt idx="2">
                <c:v>15</c:v>
              </c:pt>
              <c:pt idx="3">
                <c:v>12</c:v>
              </c:pt>
              <c:pt idx="4">
                <c:v>25</c:v>
              </c:pt>
              <c:pt idx="5">
                <c:v>36</c:v>
              </c:pt>
              <c:pt idx="6">
                <c:v>38</c:v>
              </c:pt>
              <c:pt idx="7">
                <c:v>10</c:v>
              </c:pt>
              <c:pt idx="8">
                <c:v>26</c:v>
              </c:pt>
              <c:pt idx="9">
                <c:v>2</c:v>
              </c:pt>
              <c:pt idx="10">
                <c:v>81</c:v>
              </c:pt>
              <c:pt idx="11">
                <c:v>53</c:v>
              </c:pt>
              <c:pt idx="12">
                <c:v>0</c:v>
              </c:pt>
              <c:pt idx="13">
                <c:v>62</c:v>
              </c:pt>
              <c:pt idx="14">
                <c:v>12</c:v>
              </c:pt>
              <c:pt idx="15">
                <c:v>14</c:v>
              </c:pt>
              <c:pt idx="16">
                <c:v>190</c:v>
              </c:pt>
              <c:pt idx="17">
                <c:v>29</c:v>
              </c:pt>
              <c:pt idx="18">
                <c:v>84</c:v>
              </c:pt>
              <c:pt idx="19">
                <c:v>18</c:v>
              </c:pt>
              <c:pt idx="20">
                <c:v>25</c:v>
              </c:pt>
              <c:pt idx="21">
                <c:v>6</c:v>
              </c:pt>
              <c:pt idx="22">
                <c:v>6</c:v>
              </c:pt>
              <c:pt idx="23">
                <c:v>94</c:v>
              </c:pt>
              <c:pt idx="24">
                <c:v>147</c:v>
              </c:pt>
              <c:pt idx="25">
                <c:v>19</c:v>
              </c:pt>
              <c:pt idx="26">
                <c:v>0</c:v>
              </c:pt>
              <c:pt idx="27">
                <c:v>32</c:v>
              </c:pt>
              <c:pt idx="28">
                <c:v>8</c:v>
              </c:pt>
              <c:pt idx="29">
                <c:v>0</c:v>
              </c:pt>
              <c:pt idx="30">
                <c:v>24</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6h 30 min</a:t>
                    </a:r>
                  </a:p>
                  <a:p>
                    <a:r>
                      <a:rPr lang="en-US"/>
                      <a:t> 7,4%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15h 15 min</a:t>
                    </a:r>
                  </a:p>
                  <a:p>
                    <a:r>
                      <a:rPr lang="en-US"/>
                      <a:t> 17,3%</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14h 45 min</a:t>
                    </a:r>
                  </a:p>
                  <a:p>
                    <a:r>
                      <a:rPr lang="en-US"/>
                      <a:t> 16,7%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41h 50 min</a:t>
                    </a:r>
                  </a:p>
                  <a:p>
                    <a:r>
                      <a:rPr lang="en-US"/>
                      <a:t> 47,4%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9h 50 min</a:t>
                    </a:r>
                  </a:p>
                  <a:p>
                    <a:r>
                      <a:rPr lang="en-US"/>
                      <a:t> 11,2%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78</c:v>
              </c:pt>
              <c:pt idx="2">
                <c:v>183</c:v>
              </c:pt>
              <c:pt idx="3">
                <c:v>177</c:v>
              </c:pt>
              <c:pt idx="4">
                <c:v>502</c:v>
              </c:pt>
              <c:pt idx="5">
                <c:v>118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10h 30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19h 30 min</a:t>
                    </a:r>
                  </a:p>
                  <a:p>
                    <a:r>
                      <a:rPr lang="en-US"/>
                      <a:t> 22,5%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18h</a:t>
                    </a:r>
                  </a:p>
                  <a:p>
                    <a:r>
                      <a:rPr lang="en-US"/>
                      <a:t> 20,8%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33h 15 min</a:t>
                    </a:r>
                  </a:p>
                  <a:p>
                    <a:r>
                      <a:rPr lang="en-US"/>
                      <a:t> 38,4%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5h 20 min</a:t>
                    </a:r>
                  </a:p>
                  <a:p>
                    <a:r>
                      <a:rPr lang="en-US"/>
                      <a:t> 6,2%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 </c:v>
              </c:pt>
              <c:pt idx="4">
                <c:v>Réalisation </c:v>
              </c:pt>
              <c:pt idx="5">
                <c:v>Test </c:v>
              </c:pt>
            </c:strLit>
          </c:cat>
          <c:val>
            <c:numLit>
              <c:formatCode>General</c:formatCode>
              <c:ptCount val="6"/>
              <c:pt idx="0">
                <c:v>0</c:v>
              </c:pt>
              <c:pt idx="1">
                <c:v>126</c:v>
              </c:pt>
              <c:pt idx="2">
                <c:v>234</c:v>
              </c:pt>
              <c:pt idx="3">
                <c:v>216</c:v>
              </c:pt>
              <c:pt idx="4">
                <c:v>399</c:v>
              </c:pt>
              <c:pt idx="5">
                <c:v>64</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326571</xdr:colOff>
          <xdr:row>41</xdr:row>
          <xdr:rowOff>125186</xdr:rowOff>
        </xdr:from>
        <xdr:to>
          <xdr:col>2</xdr:col>
          <xdr:colOff>468086</xdr:colOff>
          <xdr:row>44</xdr:row>
          <xdr:rowOff>65314</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10886</xdr:colOff>
          <xdr:row>0</xdr:row>
          <xdr:rowOff>152400</xdr:rowOff>
        </xdr:from>
        <xdr:to>
          <xdr:col>48</xdr:col>
          <xdr:colOff>16329</xdr:colOff>
          <xdr:row>1</xdr:row>
          <xdr:rowOff>141514</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0164535" y="197069"/>
          <a:ext cx="1333500" cy="40962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59871</xdr:colOff>
          <xdr:row>10</xdr:row>
          <xdr:rowOff>103414</xdr:rowOff>
        </xdr:from>
        <xdr:to>
          <xdr:col>2</xdr:col>
          <xdr:colOff>2068286</xdr:colOff>
          <xdr:row>11</xdr:row>
          <xdr:rowOff>478971</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326571</xdr:colOff>
          <xdr:row>0</xdr:row>
          <xdr:rowOff>87086</xdr:rowOff>
        </xdr:from>
        <xdr:to>
          <xdr:col>1</xdr:col>
          <xdr:colOff>1861457</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324105" y="83284"/>
          <a:ext cx="2547575" cy="564254"/>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21771</xdr:colOff>
          <xdr:row>0</xdr:row>
          <xdr:rowOff>76200</xdr:rowOff>
        </xdr:from>
        <xdr:to>
          <xdr:col>3</xdr:col>
          <xdr:colOff>669471</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87086</xdr:colOff>
          <xdr:row>0</xdr:row>
          <xdr:rowOff>87086</xdr:rowOff>
        </xdr:from>
        <xdr:to>
          <xdr:col>4</xdr:col>
          <xdr:colOff>718457</xdr:colOff>
          <xdr:row>0</xdr:row>
          <xdr:rowOff>566057</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103414</xdr:colOff>
          <xdr:row>0</xdr:row>
          <xdr:rowOff>87086</xdr:rowOff>
        </xdr:from>
        <xdr:to>
          <xdr:col>2</xdr:col>
          <xdr:colOff>370114</xdr:colOff>
          <xdr:row>0</xdr:row>
          <xdr:rowOff>555171</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github.com/Adrtoledocam/TPI_2165" TargetMode="External"/><Relationship Id="rId7" Type="http://schemas.openxmlformats.org/officeDocument/2006/relationships/drawing" Target="../drawings/drawing4.xml"/><Relationship Id="rId12" Type="http://schemas.openxmlformats.org/officeDocument/2006/relationships/image" Target="../media/image8.emf"/><Relationship Id="rId2" Type="http://schemas.openxmlformats.org/officeDocument/2006/relationships/hyperlink" Target="https://www.planttext.com/" TargetMode="External"/><Relationship Id="rId1" Type="http://schemas.openxmlformats.org/officeDocument/2006/relationships/hyperlink" Target="https://www.deepl.com/fr/translator" TargetMode="External"/><Relationship Id="rId6" Type="http://schemas.openxmlformats.org/officeDocument/2006/relationships/printerSettings" Target="../printerSettings/printerSettings4.bin"/><Relationship Id="rId11" Type="http://schemas.openxmlformats.org/officeDocument/2006/relationships/control" Target="../activeX/activeX7.xml"/><Relationship Id="rId5" Type="http://schemas.openxmlformats.org/officeDocument/2006/relationships/hyperlink" Target="https://www.figma.com/" TargetMode="External"/><Relationship Id="rId10" Type="http://schemas.openxmlformats.org/officeDocument/2006/relationships/image" Target="../media/image7.emf"/><Relationship Id="rId4" Type="http://schemas.openxmlformats.org/officeDocument/2006/relationships/hyperlink" Target="https://api.rawg.io/docs/" TargetMode="External"/><Relationship Id="rId9"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abSelected="1" topLeftCell="A27" zoomScale="115" zoomScaleNormal="115" workbookViewId="0">
      <selection activeCell="J48" sqref="J48"/>
    </sheetView>
  </sheetViews>
  <sheetFormatPr baseColWidth="10" defaultColWidth="11.3828125" defaultRowHeight="12" x14ac:dyDescent="0.25"/>
  <cols>
    <col min="19" max="23" width="11.382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4">
      <c r="B45" s="207" t="s">
        <v>0</v>
      </c>
      <c r="C45" s="207"/>
      <c r="D45" s="207"/>
      <c r="E45" s="138" t="s">
        <v>272</v>
      </c>
      <c r="G45" s="208" t="s">
        <v>1</v>
      </c>
      <c r="H45" s="208"/>
      <c r="I45" s="208"/>
      <c r="J45" s="139" t="s">
        <v>273</v>
      </c>
      <c r="L45" s="209" t="s">
        <v>2</v>
      </c>
      <c r="M45" s="209"/>
      <c r="N45" s="210" t="s">
        <v>274</v>
      </c>
      <c r="O45" s="21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326571</xdr:colOff>
                <xdr:row>41</xdr:row>
                <xdr:rowOff>125186</xdr:rowOff>
              </from>
              <to>
                <xdr:col>2</xdr:col>
                <xdr:colOff>468086</xdr:colOff>
                <xdr:row>44</xdr:row>
                <xdr:rowOff>65314</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36" zoomScale="40" zoomScaleNormal="40" zoomScaleSheetLayoutView="43" workbookViewId="0">
      <selection activeCell="Y59" sqref="Y59"/>
    </sheetView>
  </sheetViews>
  <sheetFormatPr baseColWidth="10" defaultColWidth="11.3828125" defaultRowHeight="12" x14ac:dyDescent="0.25"/>
  <cols>
    <col min="1" max="1" width="2.69140625" style="78" customWidth="1"/>
    <col min="2" max="2" width="2.84375" style="144" customWidth="1"/>
    <col min="3" max="3" width="51.15234375" style="2" customWidth="1"/>
    <col min="4" max="4" width="15" style="2" customWidth="1"/>
    <col min="5" max="5" width="14.3828125" style="2" customWidth="1"/>
    <col min="6" max="1625" width="1.15234375" style="2" customWidth="1"/>
    <col min="1626" max="1626" width="2.69140625" style="2" customWidth="1"/>
    <col min="1627" max="16384" width="11.3828125" style="2"/>
  </cols>
  <sheetData>
    <row r="1" spans="1:1626" ht="35.15" customHeight="1" x14ac:dyDescent="0.25">
      <c r="B1" s="140"/>
      <c r="C1" s="184" t="s">
        <v>3</v>
      </c>
      <c r="D1" s="184"/>
      <c r="E1" s="18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2.45" thickBot="1" x14ac:dyDescent="0.3">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42</v>
      </c>
      <c r="D3" s="113"/>
      <c r="E3" s="6" t="s">
        <v>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4</v>
      </c>
      <c r="D4" s="114"/>
      <c r="E4" s="10" t="s">
        <v>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5</v>
      </c>
      <c r="D5" s="114"/>
      <c r="E5" s="10" t="s">
        <v>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6</v>
      </c>
      <c r="D6" s="115"/>
      <c r="E6" s="14" t="s">
        <v>7</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49999999999999" customHeight="1" thickBot="1" x14ac:dyDescent="0.3">
      <c r="B7" s="51"/>
      <c r="C7" s="185"/>
      <c r="D7" s="185"/>
      <c r="E7" s="18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8</v>
      </c>
      <c r="D8" s="113"/>
      <c r="E8" s="6" t="s">
        <v>46</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9</v>
      </c>
      <c r="D9" s="114"/>
      <c r="E9" s="10" t="s">
        <v>10</v>
      </c>
      <c r="F9" s="11"/>
      <c r="G9" s="182" t="str">
        <f>E96</f>
        <v>89h 25 min</v>
      </c>
      <c r="H9" s="182"/>
      <c r="I9" s="182"/>
      <c r="J9" s="182"/>
      <c r="K9" s="182"/>
      <c r="L9" s="182"/>
      <c r="M9" s="182"/>
      <c r="N9" s="182"/>
      <c r="O9" s="182"/>
      <c r="P9" s="182"/>
      <c r="Q9" s="182"/>
      <c r="R9" s="182"/>
      <c r="S9" s="182"/>
      <c r="T9" s="182"/>
      <c r="U9" s="182"/>
      <c r="V9" s="94"/>
      <c r="W9" s="183" t="s">
        <v>11</v>
      </c>
      <c r="X9" s="183"/>
      <c r="Y9" s="183"/>
      <c r="Z9" s="183"/>
      <c r="AA9" s="183"/>
      <c r="AB9" s="183"/>
      <c r="AC9" s="183"/>
      <c r="AD9" s="183"/>
      <c r="AE9" s="183"/>
      <c r="AF9" s="183"/>
      <c r="AG9" s="183"/>
      <c r="AH9" s="182" t="str">
        <f>E98</f>
        <v>89h</v>
      </c>
      <c r="AI9" s="182"/>
      <c r="AJ9" s="182"/>
      <c r="AK9" s="182"/>
      <c r="AL9" s="182"/>
      <c r="AM9" s="182"/>
      <c r="AN9" s="182"/>
      <c r="AO9" s="182"/>
      <c r="AP9" s="182"/>
      <c r="AQ9" s="182"/>
      <c r="AR9" s="182"/>
      <c r="AS9" s="182"/>
      <c r="AT9" s="182"/>
      <c r="AU9" s="182"/>
      <c r="AV9" s="182"/>
      <c r="AW9" s="18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49999999999999"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5"/>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73"/>
    </row>
    <row r="11" spans="1:1626" s="71" customFormat="1" ht="20.149999999999999" customHeight="1" x14ac:dyDescent="0.35">
      <c r="A11" s="145"/>
      <c r="B11" s="141"/>
      <c r="C11" s="203"/>
      <c r="D11" s="203"/>
      <c r="E11" s="203"/>
      <c r="F11" s="175" t="s">
        <v>172</v>
      </c>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175"/>
      <c r="BJ11" s="175"/>
      <c r="BK11" s="175"/>
      <c r="BL11" s="175"/>
      <c r="BM11" s="175"/>
      <c r="BN11" s="175" t="s">
        <v>172</v>
      </c>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c r="DR11" s="175"/>
      <c r="DS11" s="175"/>
      <c r="DT11" s="175"/>
      <c r="DU11" s="175"/>
      <c r="DV11" s="175" t="s">
        <v>171</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171</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168</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168</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165</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165</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162</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162</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159</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159</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156</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156</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153</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153</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150</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150</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147</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147</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144</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144</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141</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141</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138</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138</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136</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73"/>
    </row>
    <row r="12" spans="1:1626" ht="49.5" customHeight="1" thickBot="1" x14ac:dyDescent="0.45">
      <c r="B12" s="142"/>
      <c r="C12" s="204"/>
      <c r="D12" s="204"/>
      <c r="E12" s="204"/>
      <c r="F12" s="202" t="s">
        <v>47</v>
      </c>
      <c r="G12" s="202"/>
      <c r="H12" s="202"/>
      <c r="I12" s="202"/>
      <c r="J12" s="202"/>
      <c r="K12" s="202"/>
      <c r="L12" s="202"/>
      <c r="M12" s="202"/>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202"/>
      <c r="AN12" s="202"/>
      <c r="AO12" s="202"/>
      <c r="AP12" s="202"/>
      <c r="AQ12" s="202"/>
      <c r="AR12" s="202"/>
      <c r="AS12" s="202"/>
      <c r="AT12" s="202"/>
      <c r="AU12" s="202"/>
      <c r="AV12" s="202"/>
      <c r="AW12" s="202"/>
      <c r="AX12" s="202"/>
      <c r="AY12" s="202"/>
      <c r="AZ12" s="202"/>
      <c r="BA12" s="202"/>
      <c r="BB12" s="202"/>
      <c r="BC12" s="202"/>
      <c r="BD12" s="202"/>
      <c r="BE12" s="202"/>
      <c r="BF12" s="202"/>
      <c r="BG12" s="202"/>
      <c r="BH12" s="202"/>
      <c r="BI12" s="202"/>
      <c r="BJ12" s="202"/>
      <c r="BK12" s="202"/>
      <c r="BL12" s="202"/>
      <c r="BM12" s="202"/>
      <c r="BN12" s="202" t="s">
        <v>48</v>
      </c>
      <c r="BO12" s="202"/>
      <c r="BP12" s="202"/>
      <c r="BQ12" s="202"/>
      <c r="BR12" s="202"/>
      <c r="BS12" s="202"/>
      <c r="BT12" s="202"/>
      <c r="BU12" s="202"/>
      <c r="BV12" s="202"/>
      <c r="BW12" s="202"/>
      <c r="BX12" s="202"/>
      <c r="BY12" s="202"/>
      <c r="BZ12" s="202"/>
      <c r="CA12" s="202"/>
      <c r="CB12" s="202"/>
      <c r="CC12" s="202"/>
      <c r="CD12" s="202"/>
      <c r="CE12" s="202"/>
      <c r="CF12" s="202"/>
      <c r="CG12" s="202"/>
      <c r="CH12" s="202"/>
      <c r="CI12" s="202"/>
      <c r="CJ12" s="202"/>
      <c r="CK12" s="202"/>
      <c r="CL12" s="202"/>
      <c r="CM12" s="202"/>
      <c r="CN12" s="202"/>
      <c r="CO12" s="202"/>
      <c r="CP12" s="202"/>
      <c r="CQ12" s="202"/>
      <c r="CR12" s="202"/>
      <c r="CS12" s="202"/>
      <c r="CT12" s="202"/>
      <c r="CU12" s="202"/>
      <c r="CV12" s="202"/>
      <c r="CW12" s="202"/>
      <c r="CX12" s="202"/>
      <c r="CY12" s="202"/>
      <c r="CZ12" s="202"/>
      <c r="DA12" s="202"/>
      <c r="DB12" s="202"/>
      <c r="DC12" s="202"/>
      <c r="DD12" s="202"/>
      <c r="DE12" s="202"/>
      <c r="DF12" s="202"/>
      <c r="DG12" s="202"/>
      <c r="DH12" s="202"/>
      <c r="DI12" s="202"/>
      <c r="DJ12" s="202"/>
      <c r="DK12" s="202"/>
      <c r="DL12" s="202"/>
      <c r="DM12" s="202"/>
      <c r="DN12" s="202"/>
      <c r="DO12" s="202"/>
      <c r="DP12" s="202"/>
      <c r="DQ12" s="202"/>
      <c r="DR12" s="202"/>
      <c r="DS12" s="202"/>
      <c r="DT12" s="202"/>
      <c r="DU12" s="202"/>
      <c r="DV12" s="206" t="s">
        <v>47</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176" t="s">
        <v>48</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48</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47</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48</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47</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48</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47</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48</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48</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48</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48</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48</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48</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47</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48</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47</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48</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47</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73"/>
    </row>
    <row r="13" spans="1:1626" ht="42.75" customHeight="1" thickBot="1" x14ac:dyDescent="0.3">
      <c r="B13" s="51"/>
      <c r="C13" s="200" t="s">
        <v>12</v>
      </c>
      <c r="D13" s="117"/>
      <c r="E13" s="198" t="s">
        <v>13</v>
      </c>
      <c r="F13" s="177" t="s">
        <v>14</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15</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16</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170</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169</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167</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166</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164</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163</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161</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160</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158</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157</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155</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154</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152</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151</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149</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148</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146</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145</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143</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142</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140</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139</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137</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135</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73"/>
    </row>
    <row r="14" spans="1:1626" ht="12.75" customHeight="1" thickBot="1" x14ac:dyDescent="0.3">
      <c r="B14" s="51"/>
      <c r="C14" s="201"/>
      <c r="D14" s="118"/>
      <c r="E14" s="199"/>
      <c r="F14" s="81"/>
      <c r="G14" s="82"/>
      <c r="H14" s="82"/>
      <c r="I14" s="82"/>
      <c r="J14" s="180" t="s">
        <v>17</v>
      </c>
      <c r="K14" s="180"/>
      <c r="L14" s="180"/>
      <c r="M14" s="180"/>
      <c r="N14" s="82"/>
      <c r="O14" s="82"/>
      <c r="P14" s="181" t="s">
        <v>18</v>
      </c>
      <c r="Q14" s="181"/>
      <c r="R14" s="181"/>
      <c r="S14" s="181"/>
      <c r="T14" s="102"/>
      <c r="U14" s="102"/>
      <c r="V14" s="180" t="s">
        <v>19</v>
      </c>
      <c r="W14" s="180"/>
      <c r="X14" s="180"/>
      <c r="Y14" s="180"/>
      <c r="Z14" s="82"/>
      <c r="AA14" s="82"/>
      <c r="AB14" s="181" t="s">
        <v>20</v>
      </c>
      <c r="AC14" s="181"/>
      <c r="AD14" s="181"/>
      <c r="AE14" s="181"/>
      <c r="AF14" s="102"/>
      <c r="AG14" s="102"/>
      <c r="AH14" s="180" t="s">
        <v>21</v>
      </c>
      <c r="AI14" s="180"/>
      <c r="AJ14" s="180"/>
      <c r="AK14" s="180"/>
      <c r="AL14" s="82"/>
      <c r="AM14" s="82"/>
      <c r="AN14" s="181" t="s">
        <v>22</v>
      </c>
      <c r="AO14" s="181"/>
      <c r="AP14" s="181"/>
      <c r="AQ14" s="181"/>
      <c r="AR14" s="102"/>
      <c r="AS14" s="102"/>
      <c r="AT14" s="180" t="s">
        <v>23</v>
      </c>
      <c r="AU14" s="180"/>
      <c r="AV14" s="180"/>
      <c r="AW14" s="180"/>
      <c r="AX14" s="82"/>
      <c r="AY14" s="82"/>
      <c r="AZ14" s="181" t="s">
        <v>24</v>
      </c>
      <c r="BA14" s="181"/>
      <c r="BB14" s="181"/>
      <c r="BC14" s="181"/>
      <c r="BD14" s="102"/>
      <c r="BE14" s="102"/>
      <c r="BF14" s="180" t="s">
        <v>25</v>
      </c>
      <c r="BG14" s="180"/>
      <c r="BH14" s="180"/>
      <c r="BI14" s="180"/>
      <c r="BJ14" s="82"/>
      <c r="BK14" s="82"/>
      <c r="BL14" s="82"/>
      <c r="BM14" s="83"/>
      <c r="BN14" s="81"/>
      <c r="BO14" s="82"/>
      <c r="BP14" s="82"/>
      <c r="BQ14" s="82"/>
      <c r="BR14" s="180" t="s">
        <v>17</v>
      </c>
      <c r="BS14" s="180"/>
      <c r="BT14" s="180"/>
      <c r="BU14" s="180"/>
      <c r="BV14" s="82"/>
      <c r="BW14" s="82"/>
      <c r="BX14" s="181" t="s">
        <v>18</v>
      </c>
      <c r="BY14" s="181"/>
      <c r="BZ14" s="181"/>
      <c r="CA14" s="181"/>
      <c r="CB14" s="102"/>
      <c r="CC14" s="102"/>
      <c r="CD14" s="180" t="s">
        <v>19</v>
      </c>
      <c r="CE14" s="180"/>
      <c r="CF14" s="180"/>
      <c r="CG14" s="180"/>
      <c r="CH14" s="82"/>
      <c r="CI14" s="82"/>
      <c r="CJ14" s="181" t="s">
        <v>20</v>
      </c>
      <c r="CK14" s="181"/>
      <c r="CL14" s="181"/>
      <c r="CM14" s="181"/>
      <c r="CN14" s="102"/>
      <c r="CO14" s="102"/>
      <c r="CP14" s="180" t="s">
        <v>21</v>
      </c>
      <c r="CQ14" s="180"/>
      <c r="CR14" s="180"/>
      <c r="CS14" s="180"/>
      <c r="CT14" s="82"/>
      <c r="CU14" s="82"/>
      <c r="CV14" s="181" t="s">
        <v>22</v>
      </c>
      <c r="CW14" s="181"/>
      <c r="CX14" s="181"/>
      <c r="CY14" s="181"/>
      <c r="CZ14" s="102"/>
      <c r="DA14" s="102"/>
      <c r="DB14" s="180" t="s">
        <v>23</v>
      </c>
      <c r="DC14" s="180"/>
      <c r="DD14" s="180"/>
      <c r="DE14" s="180"/>
      <c r="DF14" s="82"/>
      <c r="DG14" s="82"/>
      <c r="DH14" s="181" t="s">
        <v>24</v>
      </c>
      <c r="DI14" s="181"/>
      <c r="DJ14" s="181"/>
      <c r="DK14" s="181"/>
      <c r="DL14" s="102"/>
      <c r="DM14" s="102"/>
      <c r="DN14" s="180" t="s">
        <v>25</v>
      </c>
      <c r="DO14" s="180"/>
      <c r="DP14" s="180"/>
      <c r="DQ14" s="180"/>
      <c r="DR14" s="82"/>
      <c r="DS14" s="82"/>
      <c r="DT14" s="82"/>
      <c r="DU14" s="83"/>
      <c r="DV14" s="81"/>
      <c r="DW14" s="82"/>
      <c r="DX14" s="82"/>
      <c r="DY14" s="82"/>
      <c r="DZ14" s="180" t="s">
        <v>17</v>
      </c>
      <c r="EA14" s="180"/>
      <c r="EB14" s="180"/>
      <c r="EC14" s="180"/>
      <c r="ED14" s="82"/>
      <c r="EE14" s="82"/>
      <c r="EF14" s="181" t="s">
        <v>18</v>
      </c>
      <c r="EG14" s="181"/>
      <c r="EH14" s="181"/>
      <c r="EI14" s="181"/>
      <c r="EJ14" s="102"/>
      <c r="EK14" s="102"/>
      <c r="EL14" s="180" t="s">
        <v>19</v>
      </c>
      <c r="EM14" s="180"/>
      <c r="EN14" s="180"/>
      <c r="EO14" s="180"/>
      <c r="EP14" s="82"/>
      <c r="EQ14" s="82"/>
      <c r="ER14" s="181" t="s">
        <v>20</v>
      </c>
      <c r="ES14" s="181"/>
      <c r="ET14" s="181"/>
      <c r="EU14" s="181"/>
      <c r="EV14" s="102"/>
      <c r="EW14" s="102"/>
      <c r="EX14" s="180" t="s">
        <v>21</v>
      </c>
      <c r="EY14" s="180"/>
      <c r="EZ14" s="180"/>
      <c r="FA14" s="180"/>
      <c r="FB14" s="82"/>
      <c r="FC14" s="82"/>
      <c r="FD14" s="181" t="s">
        <v>22</v>
      </c>
      <c r="FE14" s="181"/>
      <c r="FF14" s="181"/>
      <c r="FG14" s="181"/>
      <c r="FH14" s="102"/>
      <c r="FI14" s="102"/>
      <c r="FJ14" s="180" t="s">
        <v>23</v>
      </c>
      <c r="FK14" s="180"/>
      <c r="FL14" s="180"/>
      <c r="FM14" s="180"/>
      <c r="FN14" s="82"/>
      <c r="FO14" s="82"/>
      <c r="FP14" s="181" t="s">
        <v>24</v>
      </c>
      <c r="FQ14" s="181"/>
      <c r="FR14" s="181"/>
      <c r="FS14" s="181"/>
      <c r="FT14" s="102"/>
      <c r="FU14" s="102"/>
      <c r="FV14" s="180" t="s">
        <v>25</v>
      </c>
      <c r="FW14" s="180"/>
      <c r="FX14" s="180"/>
      <c r="FY14" s="180"/>
      <c r="FZ14" s="82"/>
      <c r="GA14" s="82"/>
      <c r="GB14" s="82"/>
      <c r="GC14" s="83"/>
      <c r="GD14" s="81"/>
      <c r="GE14" s="82"/>
      <c r="GF14" s="82"/>
      <c r="GG14" s="82"/>
      <c r="GH14" s="180" t="s">
        <v>17</v>
      </c>
      <c r="GI14" s="180"/>
      <c r="GJ14" s="180"/>
      <c r="GK14" s="180"/>
      <c r="GL14" s="82"/>
      <c r="GM14" s="82"/>
      <c r="GN14" s="181" t="s">
        <v>18</v>
      </c>
      <c r="GO14" s="181"/>
      <c r="GP14" s="181"/>
      <c r="GQ14" s="181"/>
      <c r="GR14" s="102"/>
      <c r="GS14" s="102"/>
      <c r="GT14" s="180" t="s">
        <v>19</v>
      </c>
      <c r="GU14" s="180"/>
      <c r="GV14" s="180"/>
      <c r="GW14" s="180"/>
      <c r="GX14" s="82"/>
      <c r="GY14" s="82"/>
      <c r="GZ14" s="181" t="s">
        <v>20</v>
      </c>
      <c r="HA14" s="181"/>
      <c r="HB14" s="181"/>
      <c r="HC14" s="181"/>
      <c r="HD14" s="102"/>
      <c r="HE14" s="102"/>
      <c r="HF14" s="180" t="s">
        <v>21</v>
      </c>
      <c r="HG14" s="180"/>
      <c r="HH14" s="180"/>
      <c r="HI14" s="180"/>
      <c r="HJ14" s="82"/>
      <c r="HK14" s="82"/>
      <c r="HL14" s="181" t="s">
        <v>22</v>
      </c>
      <c r="HM14" s="181"/>
      <c r="HN14" s="181"/>
      <c r="HO14" s="181"/>
      <c r="HP14" s="102"/>
      <c r="HQ14" s="102"/>
      <c r="HR14" s="180" t="s">
        <v>23</v>
      </c>
      <c r="HS14" s="180"/>
      <c r="HT14" s="180"/>
      <c r="HU14" s="180"/>
      <c r="HV14" s="82"/>
      <c r="HW14" s="82"/>
      <c r="HX14" s="181" t="s">
        <v>24</v>
      </c>
      <c r="HY14" s="181"/>
      <c r="HZ14" s="181"/>
      <c r="IA14" s="181"/>
      <c r="IB14" s="102"/>
      <c r="IC14" s="102"/>
      <c r="ID14" s="180" t="s">
        <v>25</v>
      </c>
      <c r="IE14" s="180"/>
      <c r="IF14" s="180"/>
      <c r="IG14" s="180"/>
      <c r="IH14" s="82"/>
      <c r="II14" s="82"/>
      <c r="IJ14" s="82"/>
      <c r="IK14" s="83"/>
      <c r="IL14" s="81"/>
      <c r="IM14" s="82"/>
      <c r="IN14" s="82"/>
      <c r="IO14" s="82"/>
      <c r="IP14" s="180" t="s">
        <v>17</v>
      </c>
      <c r="IQ14" s="180"/>
      <c r="IR14" s="180"/>
      <c r="IS14" s="180"/>
      <c r="IT14" s="82"/>
      <c r="IU14" s="82"/>
      <c r="IV14" s="181" t="s">
        <v>18</v>
      </c>
      <c r="IW14" s="181"/>
      <c r="IX14" s="181"/>
      <c r="IY14" s="181"/>
      <c r="IZ14" s="102"/>
      <c r="JA14" s="102"/>
      <c r="JB14" s="180" t="s">
        <v>19</v>
      </c>
      <c r="JC14" s="180"/>
      <c r="JD14" s="180"/>
      <c r="JE14" s="180"/>
      <c r="JF14" s="82"/>
      <c r="JG14" s="82"/>
      <c r="JH14" s="181" t="s">
        <v>20</v>
      </c>
      <c r="JI14" s="181"/>
      <c r="JJ14" s="181"/>
      <c r="JK14" s="181"/>
      <c r="JL14" s="102"/>
      <c r="JM14" s="102"/>
      <c r="JN14" s="180" t="s">
        <v>21</v>
      </c>
      <c r="JO14" s="180"/>
      <c r="JP14" s="180"/>
      <c r="JQ14" s="180"/>
      <c r="JR14" s="82"/>
      <c r="JS14" s="82"/>
      <c r="JT14" s="181" t="s">
        <v>22</v>
      </c>
      <c r="JU14" s="181"/>
      <c r="JV14" s="181"/>
      <c r="JW14" s="181"/>
      <c r="JX14" s="102"/>
      <c r="JY14" s="102"/>
      <c r="JZ14" s="180" t="s">
        <v>23</v>
      </c>
      <c r="KA14" s="180"/>
      <c r="KB14" s="180"/>
      <c r="KC14" s="180"/>
      <c r="KD14" s="82"/>
      <c r="KE14" s="82"/>
      <c r="KF14" s="181" t="s">
        <v>24</v>
      </c>
      <c r="KG14" s="181"/>
      <c r="KH14" s="181"/>
      <c r="KI14" s="181"/>
      <c r="KJ14" s="102"/>
      <c r="KK14" s="102"/>
      <c r="KL14" s="180" t="s">
        <v>25</v>
      </c>
      <c r="KM14" s="180"/>
      <c r="KN14" s="180"/>
      <c r="KO14" s="180"/>
      <c r="KP14" s="82"/>
      <c r="KQ14" s="82"/>
      <c r="KR14" s="82"/>
      <c r="KS14" s="83"/>
      <c r="KT14" s="81"/>
      <c r="KU14" s="82"/>
      <c r="KV14" s="82"/>
      <c r="KW14" s="82"/>
      <c r="KX14" s="180" t="s">
        <v>17</v>
      </c>
      <c r="KY14" s="180"/>
      <c r="KZ14" s="180"/>
      <c r="LA14" s="180"/>
      <c r="LB14" s="82"/>
      <c r="LC14" s="82"/>
      <c r="LD14" s="181" t="s">
        <v>18</v>
      </c>
      <c r="LE14" s="181"/>
      <c r="LF14" s="181"/>
      <c r="LG14" s="181"/>
      <c r="LH14" s="102"/>
      <c r="LI14" s="102"/>
      <c r="LJ14" s="180" t="s">
        <v>19</v>
      </c>
      <c r="LK14" s="180"/>
      <c r="LL14" s="180"/>
      <c r="LM14" s="180"/>
      <c r="LN14" s="82"/>
      <c r="LO14" s="82"/>
      <c r="LP14" s="181" t="s">
        <v>20</v>
      </c>
      <c r="LQ14" s="181"/>
      <c r="LR14" s="181"/>
      <c r="LS14" s="181"/>
      <c r="LT14" s="102"/>
      <c r="LU14" s="102"/>
      <c r="LV14" s="180" t="s">
        <v>21</v>
      </c>
      <c r="LW14" s="180"/>
      <c r="LX14" s="180"/>
      <c r="LY14" s="180"/>
      <c r="LZ14" s="82"/>
      <c r="MA14" s="82"/>
      <c r="MB14" s="181" t="s">
        <v>22</v>
      </c>
      <c r="MC14" s="181"/>
      <c r="MD14" s="181"/>
      <c r="ME14" s="181"/>
      <c r="MF14" s="102"/>
      <c r="MG14" s="102"/>
      <c r="MH14" s="180" t="s">
        <v>23</v>
      </c>
      <c r="MI14" s="180"/>
      <c r="MJ14" s="180"/>
      <c r="MK14" s="180"/>
      <c r="ML14" s="82"/>
      <c r="MM14" s="82"/>
      <c r="MN14" s="181" t="s">
        <v>24</v>
      </c>
      <c r="MO14" s="181"/>
      <c r="MP14" s="181"/>
      <c r="MQ14" s="181"/>
      <c r="MR14" s="102"/>
      <c r="MS14" s="102"/>
      <c r="MT14" s="180" t="s">
        <v>25</v>
      </c>
      <c r="MU14" s="180"/>
      <c r="MV14" s="180"/>
      <c r="MW14" s="180"/>
      <c r="MX14" s="82"/>
      <c r="MY14" s="82"/>
      <c r="MZ14" s="82"/>
      <c r="NA14" s="83"/>
      <c r="NB14" s="81"/>
      <c r="NC14" s="82"/>
      <c r="ND14" s="82"/>
      <c r="NE14" s="82"/>
      <c r="NF14" s="180" t="s">
        <v>17</v>
      </c>
      <c r="NG14" s="180"/>
      <c r="NH14" s="180"/>
      <c r="NI14" s="180"/>
      <c r="NJ14" s="82"/>
      <c r="NK14" s="82"/>
      <c r="NL14" s="181" t="s">
        <v>18</v>
      </c>
      <c r="NM14" s="181"/>
      <c r="NN14" s="181"/>
      <c r="NO14" s="181"/>
      <c r="NP14" s="102"/>
      <c r="NQ14" s="102"/>
      <c r="NR14" s="180" t="s">
        <v>19</v>
      </c>
      <c r="NS14" s="180"/>
      <c r="NT14" s="180"/>
      <c r="NU14" s="180"/>
      <c r="NV14" s="82"/>
      <c r="NW14" s="82"/>
      <c r="NX14" s="181" t="s">
        <v>20</v>
      </c>
      <c r="NY14" s="181"/>
      <c r="NZ14" s="181"/>
      <c r="OA14" s="181"/>
      <c r="OB14" s="102"/>
      <c r="OC14" s="102"/>
      <c r="OD14" s="180" t="s">
        <v>21</v>
      </c>
      <c r="OE14" s="180"/>
      <c r="OF14" s="180"/>
      <c r="OG14" s="180"/>
      <c r="OH14" s="82"/>
      <c r="OI14" s="82"/>
      <c r="OJ14" s="181" t="s">
        <v>22</v>
      </c>
      <c r="OK14" s="181"/>
      <c r="OL14" s="181"/>
      <c r="OM14" s="181"/>
      <c r="ON14" s="102"/>
      <c r="OO14" s="102"/>
      <c r="OP14" s="180" t="s">
        <v>23</v>
      </c>
      <c r="OQ14" s="180"/>
      <c r="OR14" s="180"/>
      <c r="OS14" s="180"/>
      <c r="OT14" s="82"/>
      <c r="OU14" s="82"/>
      <c r="OV14" s="181" t="s">
        <v>24</v>
      </c>
      <c r="OW14" s="181"/>
      <c r="OX14" s="181"/>
      <c r="OY14" s="181"/>
      <c r="OZ14" s="102"/>
      <c r="PA14" s="102"/>
      <c r="PB14" s="180" t="s">
        <v>25</v>
      </c>
      <c r="PC14" s="180"/>
      <c r="PD14" s="180"/>
      <c r="PE14" s="180"/>
      <c r="PF14" s="82"/>
      <c r="PG14" s="82"/>
      <c r="PH14" s="82"/>
      <c r="PI14" s="83"/>
      <c r="PJ14" s="81"/>
      <c r="PK14" s="82"/>
      <c r="PL14" s="82"/>
      <c r="PM14" s="82"/>
      <c r="PN14" s="180" t="s">
        <v>17</v>
      </c>
      <c r="PO14" s="180"/>
      <c r="PP14" s="180"/>
      <c r="PQ14" s="180"/>
      <c r="PR14" s="82"/>
      <c r="PS14" s="82"/>
      <c r="PT14" s="181" t="s">
        <v>18</v>
      </c>
      <c r="PU14" s="181"/>
      <c r="PV14" s="181"/>
      <c r="PW14" s="181"/>
      <c r="PX14" s="102"/>
      <c r="PY14" s="102"/>
      <c r="PZ14" s="180" t="s">
        <v>19</v>
      </c>
      <c r="QA14" s="180"/>
      <c r="QB14" s="180"/>
      <c r="QC14" s="180"/>
      <c r="QD14" s="82"/>
      <c r="QE14" s="82"/>
      <c r="QF14" s="181" t="s">
        <v>20</v>
      </c>
      <c r="QG14" s="181"/>
      <c r="QH14" s="181"/>
      <c r="QI14" s="181"/>
      <c r="QJ14" s="102"/>
      <c r="QK14" s="102"/>
      <c r="QL14" s="180" t="s">
        <v>21</v>
      </c>
      <c r="QM14" s="180"/>
      <c r="QN14" s="180"/>
      <c r="QO14" s="180"/>
      <c r="QP14" s="82"/>
      <c r="QQ14" s="82"/>
      <c r="QR14" s="181" t="s">
        <v>22</v>
      </c>
      <c r="QS14" s="181"/>
      <c r="QT14" s="181"/>
      <c r="QU14" s="181"/>
      <c r="QV14" s="102"/>
      <c r="QW14" s="102"/>
      <c r="QX14" s="180" t="s">
        <v>23</v>
      </c>
      <c r="QY14" s="180"/>
      <c r="QZ14" s="180"/>
      <c r="RA14" s="180"/>
      <c r="RB14" s="82"/>
      <c r="RC14" s="82"/>
      <c r="RD14" s="181" t="s">
        <v>24</v>
      </c>
      <c r="RE14" s="181"/>
      <c r="RF14" s="181"/>
      <c r="RG14" s="181"/>
      <c r="RH14" s="102"/>
      <c r="RI14" s="102"/>
      <c r="RJ14" s="180" t="s">
        <v>25</v>
      </c>
      <c r="RK14" s="180"/>
      <c r="RL14" s="180"/>
      <c r="RM14" s="180"/>
      <c r="RN14" s="82"/>
      <c r="RO14" s="82"/>
      <c r="RP14" s="82"/>
      <c r="RQ14" s="83"/>
      <c r="RR14" s="81"/>
      <c r="RS14" s="82"/>
      <c r="RT14" s="82"/>
      <c r="RU14" s="82"/>
      <c r="RV14" s="180" t="s">
        <v>17</v>
      </c>
      <c r="RW14" s="180"/>
      <c r="RX14" s="180"/>
      <c r="RY14" s="180"/>
      <c r="RZ14" s="82"/>
      <c r="SA14" s="82"/>
      <c r="SB14" s="181" t="s">
        <v>18</v>
      </c>
      <c r="SC14" s="181"/>
      <c r="SD14" s="181"/>
      <c r="SE14" s="181"/>
      <c r="SF14" s="102"/>
      <c r="SG14" s="102"/>
      <c r="SH14" s="180" t="s">
        <v>19</v>
      </c>
      <c r="SI14" s="180"/>
      <c r="SJ14" s="180"/>
      <c r="SK14" s="180"/>
      <c r="SL14" s="82"/>
      <c r="SM14" s="82"/>
      <c r="SN14" s="181" t="s">
        <v>20</v>
      </c>
      <c r="SO14" s="181"/>
      <c r="SP14" s="181"/>
      <c r="SQ14" s="181"/>
      <c r="SR14" s="102"/>
      <c r="SS14" s="102"/>
      <c r="ST14" s="180" t="s">
        <v>21</v>
      </c>
      <c r="SU14" s="180"/>
      <c r="SV14" s="180"/>
      <c r="SW14" s="180"/>
      <c r="SX14" s="82"/>
      <c r="SY14" s="82"/>
      <c r="SZ14" s="181" t="s">
        <v>22</v>
      </c>
      <c r="TA14" s="181"/>
      <c r="TB14" s="181"/>
      <c r="TC14" s="181"/>
      <c r="TD14" s="102"/>
      <c r="TE14" s="102"/>
      <c r="TF14" s="180" t="s">
        <v>23</v>
      </c>
      <c r="TG14" s="180"/>
      <c r="TH14" s="180"/>
      <c r="TI14" s="180"/>
      <c r="TJ14" s="82"/>
      <c r="TK14" s="82"/>
      <c r="TL14" s="181" t="s">
        <v>24</v>
      </c>
      <c r="TM14" s="181"/>
      <c r="TN14" s="181"/>
      <c r="TO14" s="181"/>
      <c r="TP14" s="102"/>
      <c r="TQ14" s="102"/>
      <c r="TR14" s="180" t="s">
        <v>25</v>
      </c>
      <c r="TS14" s="180"/>
      <c r="TT14" s="180"/>
      <c r="TU14" s="180"/>
      <c r="TV14" s="82"/>
      <c r="TW14" s="82"/>
      <c r="TX14" s="82"/>
      <c r="TY14" s="83"/>
      <c r="TZ14" s="81"/>
      <c r="UA14" s="82"/>
      <c r="UB14" s="82"/>
      <c r="UC14" s="82"/>
      <c r="UD14" s="180" t="s">
        <v>17</v>
      </c>
      <c r="UE14" s="180"/>
      <c r="UF14" s="180"/>
      <c r="UG14" s="180"/>
      <c r="UH14" s="82"/>
      <c r="UI14" s="82"/>
      <c r="UJ14" s="181" t="s">
        <v>18</v>
      </c>
      <c r="UK14" s="181"/>
      <c r="UL14" s="181"/>
      <c r="UM14" s="181"/>
      <c r="UN14" s="102"/>
      <c r="UO14" s="102"/>
      <c r="UP14" s="180" t="s">
        <v>19</v>
      </c>
      <c r="UQ14" s="180"/>
      <c r="UR14" s="180"/>
      <c r="US14" s="180"/>
      <c r="UT14" s="82"/>
      <c r="UU14" s="82"/>
      <c r="UV14" s="181" t="s">
        <v>20</v>
      </c>
      <c r="UW14" s="181"/>
      <c r="UX14" s="181"/>
      <c r="UY14" s="181"/>
      <c r="UZ14" s="102"/>
      <c r="VA14" s="102"/>
      <c r="VB14" s="180" t="s">
        <v>21</v>
      </c>
      <c r="VC14" s="180"/>
      <c r="VD14" s="180"/>
      <c r="VE14" s="180"/>
      <c r="VF14" s="82"/>
      <c r="VG14" s="82"/>
      <c r="VH14" s="181" t="s">
        <v>22</v>
      </c>
      <c r="VI14" s="181"/>
      <c r="VJ14" s="181"/>
      <c r="VK14" s="181"/>
      <c r="VL14" s="102"/>
      <c r="VM14" s="102"/>
      <c r="VN14" s="180" t="s">
        <v>23</v>
      </c>
      <c r="VO14" s="180"/>
      <c r="VP14" s="180"/>
      <c r="VQ14" s="180"/>
      <c r="VR14" s="82"/>
      <c r="VS14" s="82"/>
      <c r="VT14" s="181" t="s">
        <v>24</v>
      </c>
      <c r="VU14" s="181"/>
      <c r="VV14" s="181"/>
      <c r="VW14" s="181"/>
      <c r="VX14" s="102"/>
      <c r="VY14" s="102"/>
      <c r="VZ14" s="180" t="s">
        <v>25</v>
      </c>
      <c r="WA14" s="180"/>
      <c r="WB14" s="180"/>
      <c r="WC14" s="180"/>
      <c r="WD14" s="82"/>
      <c r="WE14" s="82"/>
      <c r="WF14" s="82"/>
      <c r="WG14" s="83"/>
      <c r="WH14" s="81"/>
      <c r="WI14" s="82"/>
      <c r="WJ14" s="82"/>
      <c r="WK14" s="82"/>
      <c r="WL14" s="180" t="s">
        <v>17</v>
      </c>
      <c r="WM14" s="180"/>
      <c r="WN14" s="180"/>
      <c r="WO14" s="180"/>
      <c r="WP14" s="82"/>
      <c r="WQ14" s="82"/>
      <c r="WR14" s="181" t="s">
        <v>18</v>
      </c>
      <c r="WS14" s="181"/>
      <c r="WT14" s="181"/>
      <c r="WU14" s="181"/>
      <c r="WV14" s="102"/>
      <c r="WW14" s="102"/>
      <c r="WX14" s="180" t="s">
        <v>19</v>
      </c>
      <c r="WY14" s="180"/>
      <c r="WZ14" s="180"/>
      <c r="XA14" s="180"/>
      <c r="XB14" s="82"/>
      <c r="XC14" s="82"/>
      <c r="XD14" s="181" t="s">
        <v>20</v>
      </c>
      <c r="XE14" s="181"/>
      <c r="XF14" s="181"/>
      <c r="XG14" s="181"/>
      <c r="XH14" s="102"/>
      <c r="XI14" s="102"/>
      <c r="XJ14" s="180" t="s">
        <v>21</v>
      </c>
      <c r="XK14" s="180"/>
      <c r="XL14" s="180"/>
      <c r="XM14" s="180"/>
      <c r="XN14" s="82"/>
      <c r="XO14" s="82"/>
      <c r="XP14" s="181" t="s">
        <v>22</v>
      </c>
      <c r="XQ14" s="181"/>
      <c r="XR14" s="181"/>
      <c r="XS14" s="181"/>
      <c r="XT14" s="102"/>
      <c r="XU14" s="102"/>
      <c r="XV14" s="180" t="s">
        <v>23</v>
      </c>
      <c r="XW14" s="180"/>
      <c r="XX14" s="180"/>
      <c r="XY14" s="180"/>
      <c r="XZ14" s="82"/>
      <c r="YA14" s="82"/>
      <c r="YB14" s="181" t="s">
        <v>24</v>
      </c>
      <c r="YC14" s="181"/>
      <c r="YD14" s="181"/>
      <c r="YE14" s="181"/>
      <c r="YF14" s="102"/>
      <c r="YG14" s="102"/>
      <c r="YH14" s="180" t="s">
        <v>25</v>
      </c>
      <c r="YI14" s="180"/>
      <c r="YJ14" s="180"/>
      <c r="YK14" s="180"/>
      <c r="YL14" s="82"/>
      <c r="YM14" s="82"/>
      <c r="YN14" s="82"/>
      <c r="YO14" s="83"/>
      <c r="YP14" s="81"/>
      <c r="YQ14" s="82"/>
      <c r="YR14" s="82"/>
      <c r="YS14" s="82"/>
      <c r="YT14" s="180" t="s">
        <v>17</v>
      </c>
      <c r="YU14" s="180"/>
      <c r="YV14" s="180"/>
      <c r="YW14" s="180"/>
      <c r="YX14" s="82"/>
      <c r="YY14" s="82"/>
      <c r="YZ14" s="181" t="s">
        <v>18</v>
      </c>
      <c r="ZA14" s="181"/>
      <c r="ZB14" s="181"/>
      <c r="ZC14" s="181"/>
      <c r="ZD14" s="102"/>
      <c r="ZE14" s="102"/>
      <c r="ZF14" s="180" t="s">
        <v>19</v>
      </c>
      <c r="ZG14" s="180"/>
      <c r="ZH14" s="180"/>
      <c r="ZI14" s="180"/>
      <c r="ZJ14" s="82"/>
      <c r="ZK14" s="82"/>
      <c r="ZL14" s="181" t="s">
        <v>20</v>
      </c>
      <c r="ZM14" s="181"/>
      <c r="ZN14" s="181"/>
      <c r="ZO14" s="181"/>
      <c r="ZP14" s="102"/>
      <c r="ZQ14" s="102"/>
      <c r="ZR14" s="180" t="s">
        <v>21</v>
      </c>
      <c r="ZS14" s="180"/>
      <c r="ZT14" s="180"/>
      <c r="ZU14" s="180"/>
      <c r="ZV14" s="82"/>
      <c r="ZW14" s="82"/>
      <c r="ZX14" s="181" t="s">
        <v>22</v>
      </c>
      <c r="ZY14" s="181"/>
      <c r="ZZ14" s="181"/>
      <c r="AAA14" s="181"/>
      <c r="AAB14" s="102"/>
      <c r="AAC14" s="102"/>
      <c r="AAD14" s="180" t="s">
        <v>23</v>
      </c>
      <c r="AAE14" s="180"/>
      <c r="AAF14" s="180"/>
      <c r="AAG14" s="180"/>
      <c r="AAH14" s="82"/>
      <c r="AAI14" s="82"/>
      <c r="AAJ14" s="181" t="s">
        <v>24</v>
      </c>
      <c r="AAK14" s="181"/>
      <c r="AAL14" s="181"/>
      <c r="AAM14" s="181"/>
      <c r="AAN14" s="102"/>
      <c r="AAO14" s="102"/>
      <c r="AAP14" s="180" t="s">
        <v>25</v>
      </c>
      <c r="AAQ14" s="180"/>
      <c r="AAR14" s="180"/>
      <c r="AAS14" s="180"/>
      <c r="AAT14" s="82"/>
      <c r="AAU14" s="82"/>
      <c r="AAV14" s="82"/>
      <c r="AAW14" s="83"/>
      <c r="AAX14" s="81"/>
      <c r="AAY14" s="82"/>
      <c r="AAZ14" s="82"/>
      <c r="ABA14" s="82"/>
      <c r="ABB14" s="180" t="s">
        <v>17</v>
      </c>
      <c r="ABC14" s="180"/>
      <c r="ABD14" s="180"/>
      <c r="ABE14" s="180"/>
      <c r="ABF14" s="82"/>
      <c r="ABG14" s="82"/>
      <c r="ABH14" s="181" t="s">
        <v>18</v>
      </c>
      <c r="ABI14" s="181"/>
      <c r="ABJ14" s="181"/>
      <c r="ABK14" s="181"/>
      <c r="ABL14" s="102"/>
      <c r="ABM14" s="102"/>
      <c r="ABN14" s="180" t="s">
        <v>19</v>
      </c>
      <c r="ABO14" s="180"/>
      <c r="ABP14" s="180"/>
      <c r="ABQ14" s="180"/>
      <c r="ABR14" s="82"/>
      <c r="ABS14" s="82"/>
      <c r="ABT14" s="181" t="s">
        <v>20</v>
      </c>
      <c r="ABU14" s="181"/>
      <c r="ABV14" s="181"/>
      <c r="ABW14" s="181"/>
      <c r="ABX14" s="102"/>
      <c r="ABY14" s="102"/>
      <c r="ABZ14" s="180" t="s">
        <v>21</v>
      </c>
      <c r="ACA14" s="180"/>
      <c r="ACB14" s="180"/>
      <c r="ACC14" s="180"/>
      <c r="ACD14" s="82"/>
      <c r="ACE14" s="82"/>
      <c r="ACF14" s="181" t="s">
        <v>22</v>
      </c>
      <c r="ACG14" s="181"/>
      <c r="ACH14" s="181"/>
      <c r="ACI14" s="181"/>
      <c r="ACJ14" s="102"/>
      <c r="ACK14" s="102"/>
      <c r="ACL14" s="180" t="s">
        <v>23</v>
      </c>
      <c r="ACM14" s="180"/>
      <c r="ACN14" s="180"/>
      <c r="ACO14" s="180"/>
      <c r="ACP14" s="82"/>
      <c r="ACQ14" s="82"/>
      <c r="ACR14" s="181" t="s">
        <v>24</v>
      </c>
      <c r="ACS14" s="181"/>
      <c r="ACT14" s="181"/>
      <c r="ACU14" s="181"/>
      <c r="ACV14" s="102"/>
      <c r="ACW14" s="102"/>
      <c r="ACX14" s="180" t="s">
        <v>25</v>
      </c>
      <c r="ACY14" s="180"/>
      <c r="ACZ14" s="180"/>
      <c r="ADA14" s="180"/>
      <c r="ADB14" s="82"/>
      <c r="ADC14" s="82"/>
      <c r="ADD14" s="82"/>
      <c r="ADE14" s="83"/>
      <c r="ADF14" s="81"/>
      <c r="ADG14" s="82"/>
      <c r="ADH14" s="82"/>
      <c r="ADI14" s="82"/>
      <c r="ADJ14" s="180" t="s">
        <v>17</v>
      </c>
      <c r="ADK14" s="180"/>
      <c r="ADL14" s="180"/>
      <c r="ADM14" s="180"/>
      <c r="ADN14" s="82"/>
      <c r="ADO14" s="82"/>
      <c r="ADP14" s="181" t="s">
        <v>18</v>
      </c>
      <c r="ADQ14" s="181"/>
      <c r="ADR14" s="181"/>
      <c r="ADS14" s="181"/>
      <c r="ADT14" s="102"/>
      <c r="ADU14" s="102"/>
      <c r="ADV14" s="180" t="s">
        <v>19</v>
      </c>
      <c r="ADW14" s="180"/>
      <c r="ADX14" s="180"/>
      <c r="ADY14" s="180"/>
      <c r="ADZ14" s="82"/>
      <c r="AEA14" s="82"/>
      <c r="AEB14" s="181" t="s">
        <v>20</v>
      </c>
      <c r="AEC14" s="181"/>
      <c r="AED14" s="181"/>
      <c r="AEE14" s="181"/>
      <c r="AEF14" s="102"/>
      <c r="AEG14" s="102"/>
      <c r="AEH14" s="180" t="s">
        <v>21</v>
      </c>
      <c r="AEI14" s="180"/>
      <c r="AEJ14" s="180"/>
      <c r="AEK14" s="180"/>
      <c r="AEL14" s="82"/>
      <c r="AEM14" s="82"/>
      <c r="AEN14" s="181" t="s">
        <v>22</v>
      </c>
      <c r="AEO14" s="181"/>
      <c r="AEP14" s="181"/>
      <c r="AEQ14" s="181"/>
      <c r="AER14" s="102"/>
      <c r="AES14" s="102"/>
      <c r="AET14" s="180" t="s">
        <v>23</v>
      </c>
      <c r="AEU14" s="180"/>
      <c r="AEV14" s="180"/>
      <c r="AEW14" s="180"/>
      <c r="AEX14" s="82"/>
      <c r="AEY14" s="82"/>
      <c r="AEZ14" s="181" t="s">
        <v>24</v>
      </c>
      <c r="AFA14" s="181"/>
      <c r="AFB14" s="181"/>
      <c r="AFC14" s="181"/>
      <c r="AFD14" s="102"/>
      <c r="AFE14" s="102"/>
      <c r="AFF14" s="180" t="s">
        <v>25</v>
      </c>
      <c r="AFG14" s="180"/>
      <c r="AFH14" s="180"/>
      <c r="AFI14" s="180"/>
      <c r="AFJ14" s="82"/>
      <c r="AFK14" s="82"/>
      <c r="AFL14" s="82"/>
      <c r="AFM14" s="83"/>
      <c r="AFN14" s="81"/>
      <c r="AFO14" s="82"/>
      <c r="AFP14" s="82"/>
      <c r="AFQ14" s="82"/>
      <c r="AFR14" s="180" t="s">
        <v>17</v>
      </c>
      <c r="AFS14" s="180"/>
      <c r="AFT14" s="180"/>
      <c r="AFU14" s="180"/>
      <c r="AFV14" s="82"/>
      <c r="AFW14" s="82"/>
      <c r="AFX14" s="181" t="s">
        <v>18</v>
      </c>
      <c r="AFY14" s="181"/>
      <c r="AFZ14" s="181"/>
      <c r="AGA14" s="181"/>
      <c r="AGB14" s="102"/>
      <c r="AGC14" s="102"/>
      <c r="AGD14" s="180" t="s">
        <v>19</v>
      </c>
      <c r="AGE14" s="180"/>
      <c r="AGF14" s="180"/>
      <c r="AGG14" s="180"/>
      <c r="AGH14" s="82"/>
      <c r="AGI14" s="82"/>
      <c r="AGJ14" s="181" t="s">
        <v>20</v>
      </c>
      <c r="AGK14" s="181"/>
      <c r="AGL14" s="181"/>
      <c r="AGM14" s="181"/>
      <c r="AGN14" s="102"/>
      <c r="AGO14" s="102"/>
      <c r="AGP14" s="180" t="s">
        <v>21</v>
      </c>
      <c r="AGQ14" s="180"/>
      <c r="AGR14" s="180"/>
      <c r="AGS14" s="180"/>
      <c r="AGT14" s="82"/>
      <c r="AGU14" s="82"/>
      <c r="AGV14" s="181" t="s">
        <v>22</v>
      </c>
      <c r="AGW14" s="181"/>
      <c r="AGX14" s="181"/>
      <c r="AGY14" s="181"/>
      <c r="AGZ14" s="102"/>
      <c r="AHA14" s="102"/>
      <c r="AHB14" s="180" t="s">
        <v>23</v>
      </c>
      <c r="AHC14" s="180"/>
      <c r="AHD14" s="180"/>
      <c r="AHE14" s="180"/>
      <c r="AHF14" s="82"/>
      <c r="AHG14" s="82"/>
      <c r="AHH14" s="181" t="s">
        <v>24</v>
      </c>
      <c r="AHI14" s="181"/>
      <c r="AHJ14" s="181"/>
      <c r="AHK14" s="181"/>
      <c r="AHL14" s="102"/>
      <c r="AHM14" s="102"/>
      <c r="AHN14" s="180" t="s">
        <v>25</v>
      </c>
      <c r="AHO14" s="180"/>
      <c r="AHP14" s="180"/>
      <c r="AHQ14" s="180"/>
      <c r="AHR14" s="82"/>
      <c r="AHS14" s="82"/>
      <c r="AHT14" s="82"/>
      <c r="AHU14" s="83"/>
      <c r="AHV14" s="81"/>
      <c r="AHW14" s="82"/>
      <c r="AHX14" s="82"/>
      <c r="AHY14" s="82"/>
      <c r="AHZ14" s="180" t="s">
        <v>17</v>
      </c>
      <c r="AIA14" s="180"/>
      <c r="AIB14" s="180"/>
      <c r="AIC14" s="180"/>
      <c r="AID14" s="82"/>
      <c r="AIE14" s="82"/>
      <c r="AIF14" s="181" t="s">
        <v>18</v>
      </c>
      <c r="AIG14" s="181"/>
      <c r="AIH14" s="181"/>
      <c r="AII14" s="181"/>
      <c r="AIJ14" s="102"/>
      <c r="AIK14" s="102"/>
      <c r="AIL14" s="180" t="s">
        <v>19</v>
      </c>
      <c r="AIM14" s="180"/>
      <c r="AIN14" s="180"/>
      <c r="AIO14" s="180"/>
      <c r="AIP14" s="82"/>
      <c r="AIQ14" s="82"/>
      <c r="AIR14" s="181" t="s">
        <v>20</v>
      </c>
      <c r="AIS14" s="181"/>
      <c r="AIT14" s="181"/>
      <c r="AIU14" s="181"/>
      <c r="AIV14" s="102"/>
      <c r="AIW14" s="102"/>
      <c r="AIX14" s="180" t="s">
        <v>21</v>
      </c>
      <c r="AIY14" s="180"/>
      <c r="AIZ14" s="180"/>
      <c r="AJA14" s="180"/>
      <c r="AJB14" s="82"/>
      <c r="AJC14" s="82"/>
      <c r="AJD14" s="181" t="s">
        <v>22</v>
      </c>
      <c r="AJE14" s="181"/>
      <c r="AJF14" s="181"/>
      <c r="AJG14" s="181"/>
      <c r="AJH14" s="102"/>
      <c r="AJI14" s="102"/>
      <c r="AJJ14" s="180" t="s">
        <v>23</v>
      </c>
      <c r="AJK14" s="180"/>
      <c r="AJL14" s="180"/>
      <c r="AJM14" s="180"/>
      <c r="AJN14" s="82"/>
      <c r="AJO14" s="82"/>
      <c r="AJP14" s="181" t="s">
        <v>24</v>
      </c>
      <c r="AJQ14" s="181"/>
      <c r="AJR14" s="181"/>
      <c r="AJS14" s="181"/>
      <c r="AJT14" s="102"/>
      <c r="AJU14" s="102"/>
      <c r="AJV14" s="180" t="s">
        <v>25</v>
      </c>
      <c r="AJW14" s="180"/>
      <c r="AJX14" s="180"/>
      <c r="AJY14" s="180"/>
      <c r="AJZ14" s="82"/>
      <c r="AKA14" s="82"/>
      <c r="AKB14" s="82"/>
      <c r="AKC14" s="83"/>
      <c r="AKD14" s="81"/>
      <c r="AKE14" s="82"/>
      <c r="AKF14" s="82"/>
      <c r="AKG14" s="82"/>
      <c r="AKH14" s="180" t="s">
        <v>17</v>
      </c>
      <c r="AKI14" s="180"/>
      <c r="AKJ14" s="180"/>
      <c r="AKK14" s="180"/>
      <c r="AKL14" s="82"/>
      <c r="AKM14" s="82"/>
      <c r="AKN14" s="181" t="s">
        <v>18</v>
      </c>
      <c r="AKO14" s="181"/>
      <c r="AKP14" s="181"/>
      <c r="AKQ14" s="181"/>
      <c r="AKR14" s="102"/>
      <c r="AKS14" s="102"/>
      <c r="AKT14" s="180" t="s">
        <v>19</v>
      </c>
      <c r="AKU14" s="180"/>
      <c r="AKV14" s="180"/>
      <c r="AKW14" s="180"/>
      <c r="AKX14" s="82"/>
      <c r="AKY14" s="82"/>
      <c r="AKZ14" s="181" t="s">
        <v>20</v>
      </c>
      <c r="ALA14" s="181"/>
      <c r="ALB14" s="181"/>
      <c r="ALC14" s="181"/>
      <c r="ALD14" s="102"/>
      <c r="ALE14" s="102"/>
      <c r="ALF14" s="180" t="s">
        <v>21</v>
      </c>
      <c r="ALG14" s="180"/>
      <c r="ALH14" s="180"/>
      <c r="ALI14" s="180"/>
      <c r="ALJ14" s="82"/>
      <c r="ALK14" s="82"/>
      <c r="ALL14" s="181" t="s">
        <v>22</v>
      </c>
      <c r="ALM14" s="181"/>
      <c r="ALN14" s="181"/>
      <c r="ALO14" s="181"/>
      <c r="ALP14" s="102"/>
      <c r="ALQ14" s="102"/>
      <c r="ALR14" s="180" t="s">
        <v>23</v>
      </c>
      <c r="ALS14" s="180"/>
      <c r="ALT14" s="180"/>
      <c r="ALU14" s="180"/>
      <c r="ALV14" s="82"/>
      <c r="ALW14" s="82"/>
      <c r="ALX14" s="181" t="s">
        <v>24</v>
      </c>
      <c r="ALY14" s="181"/>
      <c r="ALZ14" s="181"/>
      <c r="AMA14" s="181"/>
      <c r="AMB14" s="102"/>
      <c r="AMC14" s="102"/>
      <c r="AMD14" s="180" t="s">
        <v>25</v>
      </c>
      <c r="AME14" s="180"/>
      <c r="AMF14" s="180"/>
      <c r="AMG14" s="180"/>
      <c r="AMH14" s="82"/>
      <c r="AMI14" s="82"/>
      <c r="AMJ14" s="82"/>
      <c r="AMK14" s="83"/>
      <c r="AML14" s="81"/>
      <c r="AMM14" s="82"/>
      <c r="AMN14" s="82"/>
      <c r="AMO14" s="82"/>
      <c r="AMP14" s="180" t="s">
        <v>17</v>
      </c>
      <c r="AMQ14" s="180"/>
      <c r="AMR14" s="180"/>
      <c r="AMS14" s="180"/>
      <c r="AMT14" s="82"/>
      <c r="AMU14" s="82"/>
      <c r="AMV14" s="181" t="s">
        <v>18</v>
      </c>
      <c r="AMW14" s="181"/>
      <c r="AMX14" s="181"/>
      <c r="AMY14" s="181"/>
      <c r="AMZ14" s="102"/>
      <c r="ANA14" s="102"/>
      <c r="ANB14" s="180" t="s">
        <v>19</v>
      </c>
      <c r="ANC14" s="180"/>
      <c r="AND14" s="180"/>
      <c r="ANE14" s="180"/>
      <c r="ANF14" s="82"/>
      <c r="ANG14" s="82"/>
      <c r="ANH14" s="181" t="s">
        <v>20</v>
      </c>
      <c r="ANI14" s="181"/>
      <c r="ANJ14" s="181"/>
      <c r="ANK14" s="181"/>
      <c r="ANL14" s="102"/>
      <c r="ANM14" s="102"/>
      <c r="ANN14" s="180" t="s">
        <v>21</v>
      </c>
      <c r="ANO14" s="180"/>
      <c r="ANP14" s="180"/>
      <c r="ANQ14" s="180"/>
      <c r="ANR14" s="82"/>
      <c r="ANS14" s="82"/>
      <c r="ANT14" s="181" t="s">
        <v>22</v>
      </c>
      <c r="ANU14" s="181"/>
      <c r="ANV14" s="181"/>
      <c r="ANW14" s="181"/>
      <c r="ANX14" s="102"/>
      <c r="ANY14" s="102"/>
      <c r="ANZ14" s="180" t="s">
        <v>23</v>
      </c>
      <c r="AOA14" s="180"/>
      <c r="AOB14" s="180"/>
      <c r="AOC14" s="180"/>
      <c r="AOD14" s="82"/>
      <c r="AOE14" s="82"/>
      <c r="AOF14" s="181" t="s">
        <v>24</v>
      </c>
      <c r="AOG14" s="181"/>
      <c r="AOH14" s="181"/>
      <c r="AOI14" s="181"/>
      <c r="AOJ14" s="102"/>
      <c r="AOK14" s="102"/>
      <c r="AOL14" s="180" t="s">
        <v>25</v>
      </c>
      <c r="AOM14" s="180"/>
      <c r="AON14" s="180"/>
      <c r="AOO14" s="180"/>
      <c r="AOP14" s="82"/>
      <c r="AOQ14" s="82"/>
      <c r="AOR14" s="82"/>
      <c r="AOS14" s="83"/>
      <c r="AOT14" s="81"/>
      <c r="AOU14" s="82"/>
      <c r="AOV14" s="82"/>
      <c r="AOW14" s="82"/>
      <c r="AOX14" s="180" t="s">
        <v>17</v>
      </c>
      <c r="AOY14" s="180"/>
      <c r="AOZ14" s="180"/>
      <c r="APA14" s="180"/>
      <c r="APB14" s="82"/>
      <c r="APC14" s="82"/>
      <c r="APD14" s="181" t="s">
        <v>18</v>
      </c>
      <c r="APE14" s="181"/>
      <c r="APF14" s="181"/>
      <c r="APG14" s="181"/>
      <c r="APH14" s="102"/>
      <c r="API14" s="102"/>
      <c r="APJ14" s="180" t="s">
        <v>19</v>
      </c>
      <c r="APK14" s="180"/>
      <c r="APL14" s="180"/>
      <c r="APM14" s="180"/>
      <c r="APN14" s="82"/>
      <c r="APO14" s="82"/>
      <c r="APP14" s="181" t="s">
        <v>20</v>
      </c>
      <c r="APQ14" s="181"/>
      <c r="APR14" s="181"/>
      <c r="APS14" s="181"/>
      <c r="APT14" s="102"/>
      <c r="APU14" s="102"/>
      <c r="APV14" s="180" t="s">
        <v>21</v>
      </c>
      <c r="APW14" s="180"/>
      <c r="APX14" s="180"/>
      <c r="APY14" s="180"/>
      <c r="APZ14" s="82"/>
      <c r="AQA14" s="82"/>
      <c r="AQB14" s="181" t="s">
        <v>22</v>
      </c>
      <c r="AQC14" s="181"/>
      <c r="AQD14" s="181"/>
      <c r="AQE14" s="181"/>
      <c r="AQF14" s="102"/>
      <c r="AQG14" s="102"/>
      <c r="AQH14" s="180" t="s">
        <v>23</v>
      </c>
      <c r="AQI14" s="180"/>
      <c r="AQJ14" s="180"/>
      <c r="AQK14" s="180"/>
      <c r="AQL14" s="82"/>
      <c r="AQM14" s="82"/>
      <c r="AQN14" s="181" t="s">
        <v>24</v>
      </c>
      <c r="AQO14" s="181"/>
      <c r="AQP14" s="181"/>
      <c r="AQQ14" s="181"/>
      <c r="AQR14" s="102"/>
      <c r="AQS14" s="102"/>
      <c r="AQT14" s="180" t="s">
        <v>25</v>
      </c>
      <c r="AQU14" s="180"/>
      <c r="AQV14" s="180"/>
      <c r="AQW14" s="180"/>
      <c r="AQX14" s="82"/>
      <c r="AQY14" s="82"/>
      <c r="AQZ14" s="82"/>
      <c r="ARA14" s="83"/>
      <c r="ARB14" s="81"/>
      <c r="ARC14" s="82"/>
      <c r="ARD14" s="82"/>
      <c r="ARE14" s="82"/>
      <c r="ARF14" s="180" t="s">
        <v>17</v>
      </c>
      <c r="ARG14" s="180"/>
      <c r="ARH14" s="180"/>
      <c r="ARI14" s="180"/>
      <c r="ARJ14" s="82"/>
      <c r="ARK14" s="82"/>
      <c r="ARL14" s="181" t="s">
        <v>18</v>
      </c>
      <c r="ARM14" s="181"/>
      <c r="ARN14" s="181"/>
      <c r="ARO14" s="181"/>
      <c r="ARP14" s="102"/>
      <c r="ARQ14" s="102"/>
      <c r="ARR14" s="180" t="s">
        <v>19</v>
      </c>
      <c r="ARS14" s="180"/>
      <c r="ART14" s="180"/>
      <c r="ARU14" s="180"/>
      <c r="ARV14" s="82"/>
      <c r="ARW14" s="82"/>
      <c r="ARX14" s="181" t="s">
        <v>20</v>
      </c>
      <c r="ARY14" s="181"/>
      <c r="ARZ14" s="181"/>
      <c r="ASA14" s="181"/>
      <c r="ASB14" s="102"/>
      <c r="ASC14" s="102"/>
      <c r="ASD14" s="180" t="s">
        <v>21</v>
      </c>
      <c r="ASE14" s="180"/>
      <c r="ASF14" s="180"/>
      <c r="ASG14" s="180"/>
      <c r="ASH14" s="82"/>
      <c r="ASI14" s="82"/>
      <c r="ASJ14" s="181" t="s">
        <v>22</v>
      </c>
      <c r="ASK14" s="181"/>
      <c r="ASL14" s="181"/>
      <c r="ASM14" s="181"/>
      <c r="ASN14" s="102"/>
      <c r="ASO14" s="102"/>
      <c r="ASP14" s="180" t="s">
        <v>23</v>
      </c>
      <c r="ASQ14" s="180"/>
      <c r="ASR14" s="180"/>
      <c r="ASS14" s="180"/>
      <c r="AST14" s="82"/>
      <c r="ASU14" s="82"/>
      <c r="ASV14" s="181" t="s">
        <v>24</v>
      </c>
      <c r="ASW14" s="181"/>
      <c r="ASX14" s="181"/>
      <c r="ASY14" s="181"/>
      <c r="ASZ14" s="102"/>
      <c r="ATA14" s="102"/>
      <c r="ATB14" s="180" t="s">
        <v>25</v>
      </c>
      <c r="ATC14" s="180"/>
      <c r="ATD14" s="180"/>
      <c r="ATE14" s="180"/>
      <c r="ATF14" s="82"/>
      <c r="ATG14" s="82"/>
      <c r="ATH14" s="82"/>
      <c r="ATI14" s="83"/>
      <c r="ATJ14" s="81"/>
      <c r="ATK14" s="82"/>
      <c r="ATL14" s="82"/>
      <c r="ATM14" s="82"/>
      <c r="ATN14" s="180" t="s">
        <v>17</v>
      </c>
      <c r="ATO14" s="180"/>
      <c r="ATP14" s="180"/>
      <c r="ATQ14" s="180"/>
      <c r="ATR14" s="82"/>
      <c r="ATS14" s="82"/>
      <c r="ATT14" s="181" t="s">
        <v>18</v>
      </c>
      <c r="ATU14" s="181"/>
      <c r="ATV14" s="181"/>
      <c r="ATW14" s="181"/>
      <c r="ATX14" s="102"/>
      <c r="ATY14" s="102"/>
      <c r="ATZ14" s="180" t="s">
        <v>19</v>
      </c>
      <c r="AUA14" s="180"/>
      <c r="AUB14" s="180"/>
      <c r="AUC14" s="180"/>
      <c r="AUD14" s="82"/>
      <c r="AUE14" s="82"/>
      <c r="AUF14" s="181" t="s">
        <v>20</v>
      </c>
      <c r="AUG14" s="181"/>
      <c r="AUH14" s="181"/>
      <c r="AUI14" s="181"/>
      <c r="AUJ14" s="102"/>
      <c r="AUK14" s="102"/>
      <c r="AUL14" s="180" t="s">
        <v>21</v>
      </c>
      <c r="AUM14" s="180"/>
      <c r="AUN14" s="180"/>
      <c r="AUO14" s="180"/>
      <c r="AUP14" s="82"/>
      <c r="AUQ14" s="82"/>
      <c r="AUR14" s="181" t="s">
        <v>22</v>
      </c>
      <c r="AUS14" s="181"/>
      <c r="AUT14" s="181"/>
      <c r="AUU14" s="181"/>
      <c r="AUV14" s="102"/>
      <c r="AUW14" s="102"/>
      <c r="AUX14" s="180" t="s">
        <v>23</v>
      </c>
      <c r="AUY14" s="180"/>
      <c r="AUZ14" s="180"/>
      <c r="AVA14" s="180"/>
      <c r="AVB14" s="82"/>
      <c r="AVC14" s="82"/>
      <c r="AVD14" s="181" t="s">
        <v>24</v>
      </c>
      <c r="AVE14" s="181"/>
      <c r="AVF14" s="181"/>
      <c r="AVG14" s="181"/>
      <c r="AVH14" s="102"/>
      <c r="AVI14" s="102"/>
      <c r="AVJ14" s="180" t="s">
        <v>25</v>
      </c>
      <c r="AVK14" s="180"/>
      <c r="AVL14" s="180"/>
      <c r="AVM14" s="180"/>
      <c r="AVN14" s="82"/>
      <c r="AVO14" s="82"/>
      <c r="AVP14" s="82"/>
      <c r="AVQ14" s="83"/>
      <c r="AVR14" s="81"/>
      <c r="AVS14" s="82"/>
      <c r="AVT14" s="82"/>
      <c r="AVU14" s="82"/>
      <c r="AVV14" s="180" t="s">
        <v>17</v>
      </c>
      <c r="AVW14" s="180"/>
      <c r="AVX14" s="180"/>
      <c r="AVY14" s="180"/>
      <c r="AVZ14" s="82"/>
      <c r="AWA14" s="82"/>
      <c r="AWB14" s="181" t="s">
        <v>18</v>
      </c>
      <c r="AWC14" s="181"/>
      <c r="AWD14" s="181"/>
      <c r="AWE14" s="181"/>
      <c r="AWF14" s="102"/>
      <c r="AWG14" s="102"/>
      <c r="AWH14" s="180" t="s">
        <v>19</v>
      </c>
      <c r="AWI14" s="180"/>
      <c r="AWJ14" s="180"/>
      <c r="AWK14" s="180"/>
      <c r="AWL14" s="82"/>
      <c r="AWM14" s="82"/>
      <c r="AWN14" s="181" t="s">
        <v>20</v>
      </c>
      <c r="AWO14" s="181"/>
      <c r="AWP14" s="181"/>
      <c r="AWQ14" s="181"/>
      <c r="AWR14" s="102"/>
      <c r="AWS14" s="102"/>
      <c r="AWT14" s="180" t="s">
        <v>21</v>
      </c>
      <c r="AWU14" s="180"/>
      <c r="AWV14" s="180"/>
      <c r="AWW14" s="180"/>
      <c r="AWX14" s="82"/>
      <c r="AWY14" s="82"/>
      <c r="AWZ14" s="181" t="s">
        <v>22</v>
      </c>
      <c r="AXA14" s="181"/>
      <c r="AXB14" s="181"/>
      <c r="AXC14" s="181"/>
      <c r="AXD14" s="102"/>
      <c r="AXE14" s="102"/>
      <c r="AXF14" s="180" t="s">
        <v>23</v>
      </c>
      <c r="AXG14" s="180"/>
      <c r="AXH14" s="180"/>
      <c r="AXI14" s="180"/>
      <c r="AXJ14" s="82"/>
      <c r="AXK14" s="82"/>
      <c r="AXL14" s="181" t="s">
        <v>24</v>
      </c>
      <c r="AXM14" s="181"/>
      <c r="AXN14" s="181"/>
      <c r="AXO14" s="181"/>
      <c r="AXP14" s="102"/>
      <c r="AXQ14" s="102"/>
      <c r="AXR14" s="180" t="s">
        <v>25</v>
      </c>
      <c r="AXS14" s="180"/>
      <c r="AXT14" s="180"/>
      <c r="AXU14" s="180"/>
      <c r="AXV14" s="82"/>
      <c r="AXW14" s="82"/>
      <c r="AXX14" s="82"/>
      <c r="AXY14" s="83"/>
      <c r="AXZ14" s="81"/>
      <c r="AYA14" s="82"/>
      <c r="AYB14" s="82"/>
      <c r="AYC14" s="82"/>
      <c r="AYD14" s="180" t="s">
        <v>17</v>
      </c>
      <c r="AYE14" s="180"/>
      <c r="AYF14" s="180"/>
      <c r="AYG14" s="180"/>
      <c r="AYH14" s="82"/>
      <c r="AYI14" s="82"/>
      <c r="AYJ14" s="181" t="s">
        <v>18</v>
      </c>
      <c r="AYK14" s="181"/>
      <c r="AYL14" s="181"/>
      <c r="AYM14" s="181"/>
      <c r="AYN14" s="102"/>
      <c r="AYO14" s="102"/>
      <c r="AYP14" s="180" t="s">
        <v>19</v>
      </c>
      <c r="AYQ14" s="180"/>
      <c r="AYR14" s="180"/>
      <c r="AYS14" s="180"/>
      <c r="AYT14" s="82"/>
      <c r="AYU14" s="82"/>
      <c r="AYV14" s="181" t="s">
        <v>20</v>
      </c>
      <c r="AYW14" s="181"/>
      <c r="AYX14" s="181"/>
      <c r="AYY14" s="181"/>
      <c r="AYZ14" s="102"/>
      <c r="AZA14" s="102"/>
      <c r="AZB14" s="180" t="s">
        <v>21</v>
      </c>
      <c r="AZC14" s="180"/>
      <c r="AZD14" s="180"/>
      <c r="AZE14" s="180"/>
      <c r="AZF14" s="82"/>
      <c r="AZG14" s="82"/>
      <c r="AZH14" s="181" t="s">
        <v>22</v>
      </c>
      <c r="AZI14" s="181"/>
      <c r="AZJ14" s="181"/>
      <c r="AZK14" s="181"/>
      <c r="AZL14" s="102"/>
      <c r="AZM14" s="102"/>
      <c r="AZN14" s="180" t="s">
        <v>23</v>
      </c>
      <c r="AZO14" s="180"/>
      <c r="AZP14" s="180"/>
      <c r="AZQ14" s="180"/>
      <c r="AZR14" s="82"/>
      <c r="AZS14" s="82"/>
      <c r="AZT14" s="181" t="s">
        <v>24</v>
      </c>
      <c r="AZU14" s="181"/>
      <c r="AZV14" s="181"/>
      <c r="AZW14" s="181"/>
      <c r="AZX14" s="102"/>
      <c r="AZY14" s="102"/>
      <c r="AZZ14" s="180" t="s">
        <v>25</v>
      </c>
      <c r="BAA14" s="180"/>
      <c r="BAB14" s="180"/>
      <c r="BAC14" s="180"/>
      <c r="BAD14" s="82"/>
      <c r="BAE14" s="82"/>
      <c r="BAF14" s="82"/>
      <c r="BAG14" s="83"/>
      <c r="BAH14" s="81"/>
      <c r="BAI14" s="82"/>
      <c r="BAJ14" s="82"/>
      <c r="BAK14" s="82"/>
      <c r="BAL14" s="180" t="s">
        <v>17</v>
      </c>
      <c r="BAM14" s="180"/>
      <c r="BAN14" s="180"/>
      <c r="BAO14" s="180"/>
      <c r="BAP14" s="82"/>
      <c r="BAQ14" s="82"/>
      <c r="BAR14" s="181" t="s">
        <v>18</v>
      </c>
      <c r="BAS14" s="181"/>
      <c r="BAT14" s="181"/>
      <c r="BAU14" s="181"/>
      <c r="BAV14" s="102"/>
      <c r="BAW14" s="102"/>
      <c r="BAX14" s="180" t="s">
        <v>19</v>
      </c>
      <c r="BAY14" s="180"/>
      <c r="BAZ14" s="180"/>
      <c r="BBA14" s="180"/>
      <c r="BBB14" s="82"/>
      <c r="BBC14" s="82"/>
      <c r="BBD14" s="181" t="s">
        <v>20</v>
      </c>
      <c r="BBE14" s="181"/>
      <c r="BBF14" s="181"/>
      <c r="BBG14" s="181"/>
      <c r="BBH14" s="102"/>
      <c r="BBI14" s="102"/>
      <c r="BBJ14" s="180" t="s">
        <v>21</v>
      </c>
      <c r="BBK14" s="180"/>
      <c r="BBL14" s="180"/>
      <c r="BBM14" s="180"/>
      <c r="BBN14" s="82"/>
      <c r="BBO14" s="82"/>
      <c r="BBP14" s="181" t="s">
        <v>22</v>
      </c>
      <c r="BBQ14" s="181"/>
      <c r="BBR14" s="181"/>
      <c r="BBS14" s="181"/>
      <c r="BBT14" s="102"/>
      <c r="BBU14" s="102"/>
      <c r="BBV14" s="180" t="s">
        <v>23</v>
      </c>
      <c r="BBW14" s="180"/>
      <c r="BBX14" s="180"/>
      <c r="BBY14" s="180"/>
      <c r="BBZ14" s="82"/>
      <c r="BCA14" s="82"/>
      <c r="BCB14" s="181" t="s">
        <v>24</v>
      </c>
      <c r="BCC14" s="181"/>
      <c r="BCD14" s="181"/>
      <c r="BCE14" s="181"/>
      <c r="BCF14" s="102"/>
      <c r="BCG14" s="102"/>
      <c r="BCH14" s="180" t="s">
        <v>25</v>
      </c>
      <c r="BCI14" s="180"/>
      <c r="BCJ14" s="180"/>
      <c r="BCK14" s="180"/>
      <c r="BCL14" s="82"/>
      <c r="BCM14" s="82"/>
      <c r="BCN14" s="82"/>
      <c r="BCO14" s="83"/>
      <c r="BCP14" s="81"/>
      <c r="BCQ14" s="82"/>
      <c r="BCR14" s="82"/>
      <c r="BCS14" s="82"/>
      <c r="BCT14" s="180" t="s">
        <v>17</v>
      </c>
      <c r="BCU14" s="180"/>
      <c r="BCV14" s="180"/>
      <c r="BCW14" s="180"/>
      <c r="BCX14" s="82"/>
      <c r="BCY14" s="82"/>
      <c r="BCZ14" s="181" t="s">
        <v>18</v>
      </c>
      <c r="BDA14" s="181"/>
      <c r="BDB14" s="181"/>
      <c r="BDC14" s="181"/>
      <c r="BDD14" s="102"/>
      <c r="BDE14" s="102"/>
      <c r="BDF14" s="180" t="s">
        <v>19</v>
      </c>
      <c r="BDG14" s="180"/>
      <c r="BDH14" s="180"/>
      <c r="BDI14" s="180"/>
      <c r="BDJ14" s="82"/>
      <c r="BDK14" s="82"/>
      <c r="BDL14" s="181" t="s">
        <v>20</v>
      </c>
      <c r="BDM14" s="181"/>
      <c r="BDN14" s="181"/>
      <c r="BDO14" s="181"/>
      <c r="BDP14" s="102"/>
      <c r="BDQ14" s="102"/>
      <c r="BDR14" s="180" t="s">
        <v>21</v>
      </c>
      <c r="BDS14" s="180"/>
      <c r="BDT14" s="180"/>
      <c r="BDU14" s="180"/>
      <c r="BDV14" s="82"/>
      <c r="BDW14" s="82"/>
      <c r="BDX14" s="181" t="s">
        <v>22</v>
      </c>
      <c r="BDY14" s="181"/>
      <c r="BDZ14" s="181"/>
      <c r="BEA14" s="181"/>
      <c r="BEB14" s="102"/>
      <c r="BEC14" s="102"/>
      <c r="BED14" s="180" t="s">
        <v>23</v>
      </c>
      <c r="BEE14" s="180"/>
      <c r="BEF14" s="180"/>
      <c r="BEG14" s="180"/>
      <c r="BEH14" s="82"/>
      <c r="BEI14" s="82"/>
      <c r="BEJ14" s="181" t="s">
        <v>24</v>
      </c>
      <c r="BEK14" s="181"/>
      <c r="BEL14" s="181"/>
      <c r="BEM14" s="181"/>
      <c r="BEN14" s="102"/>
      <c r="BEO14" s="102"/>
      <c r="BEP14" s="180" t="s">
        <v>25</v>
      </c>
      <c r="BEQ14" s="180"/>
      <c r="BER14" s="180"/>
      <c r="BES14" s="180"/>
      <c r="BET14" s="82"/>
      <c r="BEU14" s="82"/>
      <c r="BEV14" s="82"/>
      <c r="BEW14" s="83"/>
      <c r="BEX14" s="81"/>
      <c r="BEY14" s="82"/>
      <c r="BEZ14" s="82"/>
      <c r="BFA14" s="82"/>
      <c r="BFB14" s="180" t="s">
        <v>17</v>
      </c>
      <c r="BFC14" s="180"/>
      <c r="BFD14" s="180"/>
      <c r="BFE14" s="180"/>
      <c r="BFF14" s="82"/>
      <c r="BFG14" s="82"/>
      <c r="BFH14" s="181" t="s">
        <v>18</v>
      </c>
      <c r="BFI14" s="181"/>
      <c r="BFJ14" s="181"/>
      <c r="BFK14" s="181"/>
      <c r="BFL14" s="102"/>
      <c r="BFM14" s="102"/>
      <c r="BFN14" s="180" t="s">
        <v>19</v>
      </c>
      <c r="BFO14" s="180"/>
      <c r="BFP14" s="180"/>
      <c r="BFQ14" s="180"/>
      <c r="BFR14" s="82"/>
      <c r="BFS14" s="82"/>
      <c r="BFT14" s="181" t="s">
        <v>20</v>
      </c>
      <c r="BFU14" s="181"/>
      <c r="BFV14" s="181"/>
      <c r="BFW14" s="181"/>
      <c r="BFX14" s="102"/>
      <c r="BFY14" s="102"/>
      <c r="BFZ14" s="180" t="s">
        <v>21</v>
      </c>
      <c r="BGA14" s="180"/>
      <c r="BGB14" s="180"/>
      <c r="BGC14" s="180"/>
      <c r="BGD14" s="82"/>
      <c r="BGE14" s="82"/>
      <c r="BGF14" s="181" t="s">
        <v>22</v>
      </c>
      <c r="BGG14" s="181"/>
      <c r="BGH14" s="181"/>
      <c r="BGI14" s="181"/>
      <c r="BGJ14" s="102"/>
      <c r="BGK14" s="102"/>
      <c r="BGL14" s="180" t="s">
        <v>23</v>
      </c>
      <c r="BGM14" s="180"/>
      <c r="BGN14" s="180"/>
      <c r="BGO14" s="180"/>
      <c r="BGP14" s="82"/>
      <c r="BGQ14" s="82"/>
      <c r="BGR14" s="181" t="s">
        <v>24</v>
      </c>
      <c r="BGS14" s="181"/>
      <c r="BGT14" s="181"/>
      <c r="BGU14" s="181"/>
      <c r="BGV14" s="102"/>
      <c r="BGW14" s="102"/>
      <c r="BGX14" s="180" t="s">
        <v>25</v>
      </c>
      <c r="BGY14" s="180"/>
      <c r="BGZ14" s="180"/>
      <c r="BHA14" s="180"/>
      <c r="BHB14" s="82"/>
      <c r="BHC14" s="82"/>
      <c r="BHD14" s="82"/>
      <c r="BHE14" s="83"/>
      <c r="BHF14" s="81"/>
      <c r="BHG14" s="82"/>
      <c r="BHH14" s="82"/>
      <c r="BHI14" s="82"/>
      <c r="BHJ14" s="180" t="s">
        <v>17</v>
      </c>
      <c r="BHK14" s="180"/>
      <c r="BHL14" s="180"/>
      <c r="BHM14" s="180"/>
      <c r="BHN14" s="82"/>
      <c r="BHO14" s="82"/>
      <c r="BHP14" s="181" t="s">
        <v>18</v>
      </c>
      <c r="BHQ14" s="181"/>
      <c r="BHR14" s="181"/>
      <c r="BHS14" s="181"/>
      <c r="BHT14" s="102"/>
      <c r="BHU14" s="102"/>
      <c r="BHV14" s="180" t="s">
        <v>19</v>
      </c>
      <c r="BHW14" s="180"/>
      <c r="BHX14" s="180"/>
      <c r="BHY14" s="180"/>
      <c r="BHZ14" s="82"/>
      <c r="BIA14" s="82"/>
      <c r="BIB14" s="181" t="s">
        <v>20</v>
      </c>
      <c r="BIC14" s="181"/>
      <c r="BID14" s="181"/>
      <c r="BIE14" s="181"/>
      <c r="BIF14" s="102"/>
      <c r="BIG14" s="102"/>
      <c r="BIH14" s="180" t="s">
        <v>21</v>
      </c>
      <c r="BII14" s="180"/>
      <c r="BIJ14" s="180"/>
      <c r="BIK14" s="180"/>
      <c r="BIL14" s="82"/>
      <c r="BIM14" s="82"/>
      <c r="BIN14" s="181" t="s">
        <v>22</v>
      </c>
      <c r="BIO14" s="181"/>
      <c r="BIP14" s="181"/>
      <c r="BIQ14" s="181"/>
      <c r="BIR14" s="102"/>
      <c r="BIS14" s="102"/>
      <c r="BIT14" s="180" t="s">
        <v>23</v>
      </c>
      <c r="BIU14" s="180"/>
      <c r="BIV14" s="180"/>
      <c r="BIW14" s="180"/>
      <c r="BIX14" s="82"/>
      <c r="BIY14" s="82"/>
      <c r="BIZ14" s="181" t="s">
        <v>24</v>
      </c>
      <c r="BJA14" s="181"/>
      <c r="BJB14" s="181"/>
      <c r="BJC14" s="181"/>
      <c r="BJD14" s="102"/>
      <c r="BJE14" s="102"/>
      <c r="BJF14" s="180" t="s">
        <v>25</v>
      </c>
      <c r="BJG14" s="180"/>
      <c r="BJH14" s="180"/>
      <c r="BJI14" s="180"/>
      <c r="BJJ14" s="82"/>
      <c r="BJK14" s="82"/>
      <c r="BJL14" s="82"/>
      <c r="BJM14" s="83"/>
      <c r="BJN14" s="73"/>
    </row>
    <row r="15" spans="1:1626" ht="20.149999999999999" customHeight="1" x14ac:dyDescent="0.25">
      <c r="A15" s="78" t="s">
        <v>26</v>
      </c>
      <c r="B15" s="51" t="str">
        <f>IF(LEN(C15)=0,"",C15)</f>
        <v xml:space="preserve">Absences - Imprévus </v>
      </c>
      <c r="C15" s="205" t="s">
        <v>70</v>
      </c>
      <c r="D15" s="227"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49999999999999" customHeight="1" x14ac:dyDescent="0.25">
      <c r="A16" s="78" t="s">
        <v>27</v>
      </c>
      <c r="B16" s="51" t="str">
        <f>IF(LEN(C17)=0,"",C17)</f>
        <v>Analyse - Context CdC</v>
      </c>
      <c r="C16" s="228"/>
      <c r="D16" s="229" t="str">
        <f t="shared" ref="D16:D76"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49999999999999" customHeight="1" x14ac:dyDescent="0.25">
      <c r="A17" s="78" t="s">
        <v>26</v>
      </c>
      <c r="B17" s="51" t="str">
        <f>IF(LEN(C19)=0,"",C19)</f>
        <v>Analyse - Environnement</v>
      </c>
      <c r="C17" s="190" t="s">
        <v>51</v>
      </c>
      <c r="D17" s="230" t="str">
        <f t="shared" si="0"/>
        <v/>
      </c>
      <c r="E17" s="26">
        <v>0</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49999999999999" customHeight="1" x14ac:dyDescent="0.4">
      <c r="A18" s="78" t="s">
        <v>27</v>
      </c>
      <c r="B18" s="51" t="str">
        <f>IF(LEN(C21)=0,"",C21)</f>
        <v>Analyse - Étude technologique</v>
      </c>
      <c r="C18" s="228"/>
      <c r="D18" s="231" t="str">
        <f t="shared" si="0"/>
        <v/>
      </c>
      <c r="E18" s="30">
        <v>0</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31"/>
      <c r="IM18" s="32"/>
      <c r="IN18" s="32"/>
      <c r="IO18" s="32"/>
      <c r="IP18" s="32"/>
      <c r="IQ18" s="106"/>
      <c r="IR18" s="32"/>
      <c r="IS18" s="32"/>
      <c r="IT18" s="32"/>
      <c r="IU18" s="32"/>
      <c r="IV18" s="32"/>
      <c r="IW18" s="111"/>
      <c r="IX18" s="32"/>
      <c r="IY18" s="32"/>
      <c r="IZ18" s="32"/>
      <c r="JA18" s="32"/>
      <c r="JB18" s="32"/>
      <c r="JC18" s="58"/>
      <c r="JD18" s="32"/>
      <c r="JE18" s="32"/>
      <c r="JF18" s="32"/>
      <c r="JG18" s="32"/>
      <c r="JH18" s="32"/>
      <c r="JI18" s="111"/>
      <c r="JJ18" s="32"/>
      <c r="JK18" s="32"/>
      <c r="JL18" s="32"/>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31"/>
      <c r="KU18" s="32"/>
      <c r="KV18" s="32"/>
      <c r="KW18" s="32"/>
      <c r="KX18" s="32"/>
      <c r="KY18" s="106"/>
      <c r="KZ18" s="32"/>
      <c r="LA18" s="32"/>
      <c r="LB18" s="32"/>
      <c r="LC18" s="32"/>
      <c r="LD18" s="32"/>
      <c r="LE18" s="111"/>
      <c r="LF18" s="32"/>
      <c r="LG18" s="32"/>
      <c r="LH18" s="32"/>
      <c r="LI18" s="32"/>
      <c r="LJ18" s="32"/>
      <c r="LK18" s="58"/>
      <c r="LL18" s="32"/>
      <c r="LM18" s="32"/>
      <c r="LN18" s="32"/>
      <c r="LO18" s="32"/>
      <c r="LP18" s="32"/>
      <c r="LQ18" s="111"/>
      <c r="LR18" s="32"/>
      <c r="LS18" s="32"/>
      <c r="LT18" s="32"/>
      <c r="LU18" s="32"/>
      <c r="LV18" s="32"/>
      <c r="LW18" s="58"/>
      <c r="LX18" s="32"/>
      <c r="LY18" s="32"/>
      <c r="LZ18" s="32"/>
      <c r="MA18" s="32"/>
      <c r="MB18" s="32"/>
      <c r="MC18" s="111"/>
      <c r="MD18" s="32"/>
      <c r="ME18" s="32"/>
      <c r="MF18" s="32"/>
      <c r="MG18" s="32"/>
      <c r="MH18" s="32"/>
      <c r="MI18" s="58"/>
      <c r="MJ18" s="32"/>
      <c r="MK18" s="32"/>
      <c r="ML18" s="32"/>
      <c r="MM18" s="32"/>
      <c r="MN18" s="32"/>
      <c r="MO18" s="111"/>
      <c r="MP18" s="32"/>
      <c r="MQ18" s="32"/>
      <c r="MR18" s="32"/>
      <c r="MS18" s="32"/>
      <c r="MT18" s="32"/>
      <c r="MU18" s="58"/>
      <c r="MV18" s="32"/>
      <c r="MW18" s="32"/>
      <c r="MX18" s="32"/>
      <c r="MY18" s="32"/>
      <c r="MZ18" s="32"/>
      <c r="NA18" s="33"/>
      <c r="NB18" s="31"/>
      <c r="NC18" s="32"/>
      <c r="ND18" s="32"/>
      <c r="NE18" s="32"/>
      <c r="NF18" s="32"/>
      <c r="NG18" s="106"/>
      <c r="NH18" s="32"/>
      <c r="NI18" s="32"/>
      <c r="NJ18" s="32"/>
      <c r="NK18" s="32"/>
      <c r="NL18" s="32"/>
      <c r="NM18" s="111"/>
      <c r="NN18" s="32"/>
      <c r="NO18" s="32"/>
      <c r="NP18" s="32"/>
      <c r="NQ18" s="32"/>
      <c r="NR18" s="32"/>
      <c r="NS18" s="58"/>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49999999999999" customHeight="1" x14ac:dyDescent="0.25">
      <c r="A19" s="78" t="s">
        <v>26</v>
      </c>
      <c r="B19" s="51" t="str">
        <f>IF(LEN(C23)=0,"",C23)</f>
        <v>Analyse - Planification initiale</v>
      </c>
      <c r="C19" s="190" t="s">
        <v>52</v>
      </c>
      <c r="D19" s="230" t="str">
        <f t="shared" si="0"/>
        <v>1h 45 min</v>
      </c>
      <c r="E19" s="34">
        <v>21</v>
      </c>
      <c r="F19" s="35"/>
      <c r="G19" s="36"/>
      <c r="H19" s="36"/>
      <c r="I19" s="36"/>
      <c r="J19" s="36"/>
      <c r="K19" s="107"/>
      <c r="L19" s="36"/>
      <c r="M19" s="36"/>
      <c r="N19" s="36"/>
      <c r="O19" s="36"/>
      <c r="P19" s="36"/>
      <c r="Q19" s="112"/>
      <c r="R19" s="153"/>
      <c r="S19" s="153"/>
      <c r="T19" s="153"/>
      <c r="U19" s="153"/>
      <c r="V19" s="153"/>
      <c r="W19" s="156"/>
      <c r="X19" s="153"/>
      <c r="Y19" s="153"/>
      <c r="Z19" s="153"/>
      <c r="AA19" s="153"/>
      <c r="AB19" s="153"/>
      <c r="AC19" s="155"/>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153"/>
      <c r="EF19" s="153"/>
      <c r="EG19" s="155"/>
      <c r="EH19" s="153"/>
      <c r="EI19" s="153"/>
      <c r="EJ19" s="153"/>
      <c r="EK19" s="153"/>
      <c r="EL19" s="153"/>
      <c r="EM19" s="156"/>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49999999999999" customHeight="1" x14ac:dyDescent="0.25">
      <c r="A20" s="78" t="s">
        <v>27</v>
      </c>
      <c r="B20" s="51" t="str">
        <f>IF(LEN(C25)=0,"",C25)</f>
        <v>Analyse - Recherche d'informations</v>
      </c>
      <c r="C20" s="196"/>
      <c r="D20" s="229" t="str">
        <f t="shared" si="0"/>
        <v>1h 15 min</v>
      </c>
      <c r="E20" s="22">
        <v>15</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165"/>
      <c r="CI20" s="165"/>
      <c r="CJ20" s="165"/>
      <c r="CK20" s="167"/>
      <c r="CL20" s="165"/>
      <c r="CM20" s="165"/>
      <c r="CN20" s="165"/>
      <c r="CO20" s="165"/>
      <c r="CP20" s="165"/>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24"/>
      <c r="FM20" s="24"/>
      <c r="FN20" s="24"/>
      <c r="FO20" s="24"/>
      <c r="FP20" s="24"/>
      <c r="FQ20" s="109"/>
      <c r="FR20" s="24"/>
      <c r="FS20" s="24"/>
      <c r="FT20" s="24"/>
      <c r="FU20" s="24"/>
      <c r="FV20" s="24"/>
      <c r="FW20" s="58"/>
      <c r="FX20" s="24"/>
      <c r="FY20" s="24"/>
      <c r="FZ20" s="24"/>
      <c r="GA20" s="24"/>
      <c r="GB20" s="24"/>
      <c r="GC20" s="25"/>
      <c r="GD20" s="23"/>
      <c r="GE20" s="24"/>
      <c r="GF20" s="24"/>
      <c r="GG20" s="24"/>
      <c r="GH20" s="24"/>
      <c r="GI20" s="104"/>
      <c r="GJ20" s="24"/>
      <c r="GK20" s="24"/>
      <c r="GL20" s="24"/>
      <c r="GM20" s="24"/>
      <c r="GN20" s="24"/>
      <c r="GO20" s="109"/>
      <c r="GP20" s="24"/>
      <c r="GQ20" s="24"/>
      <c r="GR20" s="24"/>
      <c r="GS20" s="24"/>
      <c r="GT20" s="24"/>
      <c r="GU20" s="58"/>
      <c r="GV20" s="24"/>
      <c r="GW20" s="24"/>
      <c r="GX20" s="24"/>
      <c r="GY20" s="24"/>
      <c r="GZ20" s="24"/>
      <c r="HA20" s="109"/>
      <c r="HB20" s="24"/>
      <c r="HC20" s="24"/>
      <c r="HD20" s="24"/>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24"/>
      <c r="JE20" s="24"/>
      <c r="JF20" s="24"/>
      <c r="JG20" s="24"/>
      <c r="JH20" s="24"/>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165"/>
      <c r="NU20" s="165"/>
      <c r="NV20" s="165"/>
      <c r="NW20" s="165"/>
      <c r="NX20" s="165"/>
      <c r="NY20" s="167"/>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49999999999999" customHeight="1" x14ac:dyDescent="0.25">
      <c r="A21" s="78" t="s">
        <v>26</v>
      </c>
      <c r="B21" s="51" t="str">
        <f>IF(LEN(C27)=0,"",C27)</f>
        <v>Analyse - Risques</v>
      </c>
      <c r="C21" s="190" t="s">
        <v>50</v>
      </c>
      <c r="D21" s="230" t="str">
        <f t="shared" si="0"/>
        <v>1h</v>
      </c>
      <c r="E21" s="26">
        <v>12</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157"/>
      <c r="EO21" s="157"/>
      <c r="EP21" s="157"/>
      <c r="EQ21" s="157"/>
      <c r="ER21" s="157"/>
      <c r="ES21" s="158"/>
      <c r="ET21" s="157"/>
      <c r="EU21" s="157"/>
      <c r="EV21" s="157"/>
      <c r="EW21" s="157"/>
      <c r="EX21" s="157"/>
      <c r="EY21" s="159"/>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49999999999999" customHeight="1" x14ac:dyDescent="0.25">
      <c r="A22" s="78" t="s">
        <v>27</v>
      </c>
      <c r="B22" s="51" t="str">
        <f>IF(LEN(C29)=0,"",C29)</f>
        <v>Conception - Architecture technique</v>
      </c>
      <c r="C22" s="228"/>
      <c r="D22" s="229" t="str">
        <f t="shared" si="0"/>
        <v>1h</v>
      </c>
      <c r="E22" s="30">
        <v>12</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168"/>
      <c r="EK22" s="168"/>
      <c r="EL22" s="168"/>
      <c r="EM22" s="169"/>
      <c r="EN22" s="168"/>
      <c r="EO22" s="168"/>
      <c r="EP22" s="168"/>
      <c r="EQ22" s="168"/>
      <c r="ER22" s="168"/>
      <c r="ES22" s="171"/>
      <c r="ET22" s="168"/>
      <c r="EU22" s="168"/>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49999999999999" customHeight="1" x14ac:dyDescent="0.25">
      <c r="A23" s="78" t="s">
        <v>26</v>
      </c>
      <c r="B23" s="51" t="str">
        <f>IF(LEN(C31)=0,"",C31)</f>
        <v>Conception - Base de données</v>
      </c>
      <c r="C23" s="190" t="s">
        <v>28</v>
      </c>
      <c r="D23" s="230" t="str">
        <f t="shared" si="0"/>
        <v>2h 15 min</v>
      </c>
      <c r="E23" s="34">
        <v>27</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153"/>
      <c r="AE23" s="153"/>
      <c r="AF23" s="153"/>
      <c r="AG23" s="153"/>
      <c r="AH23" s="153"/>
      <c r="AI23" s="156"/>
      <c r="AJ23" s="153"/>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152"/>
      <c r="BO23" s="153"/>
      <c r="BP23" s="153"/>
      <c r="BQ23" s="153"/>
      <c r="BR23" s="153"/>
      <c r="BS23" s="154"/>
      <c r="BT23" s="153"/>
      <c r="BU23" s="153"/>
      <c r="BV23" s="153"/>
      <c r="BW23" s="153"/>
      <c r="BX23" s="153"/>
      <c r="BY23" s="155"/>
      <c r="BZ23" s="153"/>
      <c r="CA23" s="153"/>
      <c r="CB23" s="153"/>
      <c r="CC23" s="153"/>
      <c r="CD23" s="153"/>
      <c r="CE23" s="156"/>
      <c r="CF23" s="153"/>
      <c r="CG23" s="153"/>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49999999999999" customHeight="1" x14ac:dyDescent="0.25">
      <c r="A24" s="78" t="s">
        <v>27</v>
      </c>
      <c r="B24" s="51" t="str">
        <f>IF(LEN(C33)=0,"",C33)</f>
        <v>Conception - Docker</v>
      </c>
      <c r="C24" s="228"/>
      <c r="D24" s="229" t="str">
        <f t="shared" si="0"/>
        <v>2h 5 min</v>
      </c>
      <c r="E24" s="22">
        <v>25</v>
      </c>
      <c r="F24" s="23"/>
      <c r="G24" s="24"/>
      <c r="H24" s="24"/>
      <c r="I24" s="24"/>
      <c r="J24" s="24"/>
      <c r="K24" s="104"/>
      <c r="L24" s="24"/>
      <c r="M24" s="24"/>
      <c r="N24" s="24"/>
      <c r="O24" s="24"/>
      <c r="P24" s="24"/>
      <c r="Q24" s="109"/>
      <c r="R24" s="165"/>
      <c r="S24" s="165"/>
      <c r="T24" s="165"/>
      <c r="U24" s="165"/>
      <c r="V24" s="165"/>
      <c r="W24" s="170"/>
      <c r="X24" s="165"/>
      <c r="Y24" s="165"/>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165"/>
      <c r="BR24" s="165"/>
      <c r="BS24" s="166"/>
      <c r="BT24" s="165"/>
      <c r="BU24" s="165"/>
      <c r="BV24" s="165"/>
      <c r="BW24" s="165"/>
      <c r="BX24" s="165"/>
      <c r="BY24" s="167"/>
      <c r="BZ24" s="165"/>
      <c r="CA24" s="165"/>
      <c r="CB24" s="165"/>
      <c r="CC24" s="165"/>
      <c r="CD24" s="165"/>
      <c r="CE24" s="170"/>
      <c r="CF24" s="165"/>
      <c r="CG24" s="165"/>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24"/>
      <c r="EQ24" s="24"/>
      <c r="ER24" s="24"/>
      <c r="ES24" s="109"/>
      <c r="ET24" s="24"/>
      <c r="EU24" s="24"/>
      <c r="EV24" s="24"/>
      <c r="EW24" s="24"/>
      <c r="EX24" s="24"/>
      <c r="EY24" s="5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49999999999999" customHeight="1" x14ac:dyDescent="0.25">
      <c r="A25" s="78" t="s">
        <v>26</v>
      </c>
      <c r="B25" s="51" t="str">
        <f>IF(LEN(C35)=0,"",C35)</f>
        <v>Conception - Figma high fidelity</v>
      </c>
      <c r="C25" s="190" t="s">
        <v>74</v>
      </c>
      <c r="D25" s="230" t="str">
        <f t="shared" si="0"/>
        <v xml:space="preserve"> 45 min</v>
      </c>
      <c r="E25" s="26">
        <v>9</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7"/>
      <c r="DX25" s="157"/>
      <c r="DY25" s="157"/>
      <c r="DZ25" s="157"/>
      <c r="EA25" s="161"/>
      <c r="EB25" s="157"/>
      <c r="EC25" s="157"/>
      <c r="ED25" s="157"/>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49999999999999" customHeight="1" x14ac:dyDescent="0.4">
      <c r="A26" s="78" t="s">
        <v>27</v>
      </c>
      <c r="B26" s="51" t="str">
        <f>IF(LEN(C37)=0,"",C37)</f>
        <v>Conception - Figma low fidelity</v>
      </c>
      <c r="C26" s="228"/>
      <c r="D26" s="231" t="str">
        <f t="shared" si="0"/>
        <v>3h</v>
      </c>
      <c r="E26" s="30">
        <v>36</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11"/>
      <c r="BB26" s="32"/>
      <c r="BC26" s="32"/>
      <c r="BD26" s="32"/>
      <c r="BE26" s="32"/>
      <c r="BF26" s="32"/>
      <c r="BG26" s="58"/>
      <c r="BH26" s="32"/>
      <c r="BI26" s="32"/>
      <c r="BJ26" s="32"/>
      <c r="BK26" s="32"/>
      <c r="BL26" s="32"/>
      <c r="BM26" s="33"/>
      <c r="BN26" s="31"/>
      <c r="BO26" s="32"/>
      <c r="BP26" s="32"/>
      <c r="BQ26" s="32"/>
      <c r="BR26" s="32"/>
      <c r="BS26" s="106"/>
      <c r="BT26" s="32"/>
      <c r="BU26" s="32"/>
      <c r="BV26" s="32"/>
      <c r="BW26" s="32"/>
      <c r="BX26" s="32"/>
      <c r="BY26" s="111"/>
      <c r="BZ26" s="32"/>
      <c r="CA26" s="32"/>
      <c r="CB26" s="32"/>
      <c r="CC26" s="32"/>
      <c r="CD26" s="32"/>
      <c r="CE26" s="58"/>
      <c r="CF26" s="32"/>
      <c r="CG26" s="32"/>
      <c r="CH26" s="32"/>
      <c r="CI26" s="32"/>
      <c r="CJ26" s="32"/>
      <c r="CK26" s="111"/>
      <c r="CL26" s="32"/>
      <c r="CM26" s="32"/>
      <c r="CN26" s="32"/>
      <c r="CO26" s="32"/>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168"/>
      <c r="DY26" s="168"/>
      <c r="DZ26" s="168"/>
      <c r="EA26" s="173"/>
      <c r="EB26" s="168"/>
      <c r="EC26" s="168"/>
      <c r="ED26" s="168"/>
      <c r="EE26" s="168"/>
      <c r="EF26" s="168"/>
      <c r="EG26" s="171"/>
      <c r="EH26" s="168"/>
      <c r="EI26" s="168"/>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11"/>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32"/>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172"/>
      <c r="IM26" s="168"/>
      <c r="IN26" s="168"/>
      <c r="IO26" s="168"/>
      <c r="IP26" s="168"/>
      <c r="IQ26" s="173"/>
      <c r="IR26" s="168"/>
      <c r="IS26" s="168"/>
      <c r="IT26" s="168"/>
      <c r="IU26" s="168"/>
      <c r="IV26" s="168"/>
      <c r="IW26" s="171"/>
      <c r="IX26" s="168"/>
      <c r="IY26" s="168"/>
      <c r="IZ26" s="168"/>
      <c r="JA26" s="168"/>
      <c r="JB26" s="168"/>
      <c r="JC26" s="169"/>
      <c r="JD26" s="168"/>
      <c r="JE26" s="168"/>
      <c r="JF26" s="168"/>
      <c r="JG26" s="168"/>
      <c r="JH26" s="168"/>
      <c r="JI26" s="171"/>
      <c r="JJ26" s="32"/>
      <c r="JK26" s="32"/>
      <c r="JL26" s="32"/>
      <c r="JM26" s="32"/>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11"/>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32"/>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32"/>
      <c r="RE26" s="111"/>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11"/>
      <c r="TB26" s="32"/>
      <c r="TC26" s="32"/>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32"/>
      <c r="VU26" s="111"/>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32"/>
      <c r="XI26" s="32"/>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49999999999999" customHeight="1" x14ac:dyDescent="0.25">
      <c r="A27" s="78" t="s">
        <v>26</v>
      </c>
      <c r="B27" s="51" t="str">
        <f>IF(LEN(C39)=0,"",C39)</f>
        <v>Conception - Plan de tests</v>
      </c>
      <c r="C27" s="190" t="s">
        <v>69</v>
      </c>
      <c r="D27" s="230" t="str">
        <f t="shared" si="0"/>
        <v xml:space="preserve"> 45 min</v>
      </c>
      <c r="E27" s="34">
        <v>9</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153"/>
      <c r="FA27" s="153"/>
      <c r="FB27" s="153"/>
      <c r="FC27" s="153"/>
      <c r="FD27" s="153"/>
      <c r="FE27" s="155"/>
      <c r="FF27" s="153"/>
      <c r="FG27" s="153"/>
      <c r="FH27" s="153"/>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35"/>
      <c r="BAI27" s="36"/>
      <c r="BAJ27" s="36"/>
      <c r="BAK27" s="36"/>
      <c r="BAL27" s="36"/>
      <c r="BAM27" s="107"/>
      <c r="BAN27" s="36"/>
      <c r="BAO27" s="36"/>
      <c r="BAP27" s="36"/>
      <c r="BAQ27" s="36"/>
      <c r="BAR27" s="36"/>
      <c r="BAS27" s="112"/>
      <c r="BAT27" s="36"/>
      <c r="BAU27" s="36"/>
      <c r="BAV27" s="36"/>
      <c r="BAW27" s="36"/>
      <c r="BAX27" s="36"/>
      <c r="BAY27" s="59"/>
      <c r="BAZ27" s="36"/>
      <c r="BBA27" s="36"/>
      <c r="BBB27" s="36"/>
      <c r="BBC27" s="36"/>
      <c r="BBD27" s="36"/>
      <c r="BBE27" s="112"/>
      <c r="BBF27" s="36"/>
      <c r="BBG27" s="36"/>
      <c r="BBH27" s="36"/>
      <c r="BBI27" s="36"/>
      <c r="BBJ27" s="36"/>
      <c r="BBK27" s="59"/>
      <c r="BBL27" s="36"/>
      <c r="BBM27" s="36"/>
      <c r="BBN27" s="36"/>
      <c r="BBO27" s="36"/>
      <c r="BBP27" s="36"/>
      <c r="BBQ27" s="112"/>
      <c r="BBR27" s="36"/>
      <c r="BBS27" s="36"/>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49999999999999" customHeight="1" x14ac:dyDescent="0.4">
      <c r="A28" s="78" t="s">
        <v>27</v>
      </c>
      <c r="B28" s="51" t="str">
        <f>IF(LEN(C41)=0,"",C41)</f>
        <v>Conception - UML</v>
      </c>
      <c r="C28" s="196"/>
      <c r="D28" s="231" t="str">
        <f t="shared" si="0"/>
        <v>3h 10 min</v>
      </c>
      <c r="E28" s="22">
        <v>38</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23"/>
      <c r="DW28" s="24"/>
      <c r="DX28" s="24"/>
      <c r="DY28" s="24"/>
      <c r="DZ28" s="24"/>
      <c r="EA28" s="104"/>
      <c r="EB28" s="24"/>
      <c r="EC28" s="24"/>
      <c r="ED28" s="24"/>
      <c r="EE28" s="24"/>
      <c r="EF28" s="24"/>
      <c r="EG28" s="109"/>
      <c r="EH28" s="24"/>
      <c r="EI28" s="24"/>
      <c r="EJ28" s="24"/>
      <c r="EK28" s="24"/>
      <c r="EL28" s="24"/>
      <c r="EM28" s="56"/>
      <c r="EN28" s="24"/>
      <c r="EO28" s="24"/>
      <c r="EP28" s="24"/>
      <c r="EQ28" s="24"/>
      <c r="ER28" s="24"/>
      <c r="ES28" s="109"/>
      <c r="ET28" s="24"/>
      <c r="EU28" s="24"/>
      <c r="EV28" s="165"/>
      <c r="EW28" s="165"/>
      <c r="EX28" s="165"/>
      <c r="EY28" s="170"/>
      <c r="EZ28" s="165"/>
      <c r="FA28" s="165"/>
      <c r="FB28" s="165"/>
      <c r="FC28" s="165"/>
      <c r="FD28" s="165"/>
      <c r="FE28" s="167"/>
      <c r="FF28" s="165"/>
      <c r="FG28" s="165"/>
      <c r="FH28" s="165"/>
      <c r="FI28" s="165"/>
      <c r="FJ28" s="165"/>
      <c r="FK28" s="170"/>
      <c r="FL28" s="165"/>
      <c r="FM28" s="165"/>
      <c r="FN28" s="165"/>
      <c r="FO28" s="165"/>
      <c r="FP28" s="165"/>
      <c r="FQ28" s="167"/>
      <c r="FR28" s="24"/>
      <c r="FS28" s="24"/>
      <c r="FT28" s="24"/>
      <c r="FU28" s="24"/>
      <c r="FV28" s="24"/>
      <c r="FW28" s="56"/>
      <c r="FX28" s="24"/>
      <c r="FY28" s="24"/>
      <c r="FZ28" s="24"/>
      <c r="GA28" s="24"/>
      <c r="GB28" s="24"/>
      <c r="GC28" s="25"/>
      <c r="GD28" s="164"/>
      <c r="GE28" s="165"/>
      <c r="GF28" s="165"/>
      <c r="GG28" s="165"/>
      <c r="GH28" s="165"/>
      <c r="GI28" s="166"/>
      <c r="GJ28" s="165"/>
      <c r="GK28" s="165"/>
      <c r="GL28" s="165"/>
      <c r="GM28" s="165"/>
      <c r="GN28" s="165"/>
      <c r="GO28" s="167"/>
      <c r="GP28" s="165"/>
      <c r="GQ28" s="165"/>
      <c r="GR28" s="165"/>
      <c r="GS28" s="165"/>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23"/>
      <c r="WI28" s="24"/>
      <c r="WJ28" s="24"/>
      <c r="WK28" s="24"/>
      <c r="WL28" s="24"/>
      <c r="WM28" s="104"/>
      <c r="WN28" s="24"/>
      <c r="WO28" s="24"/>
      <c r="WP28" s="24"/>
      <c r="WQ28" s="24"/>
      <c r="WR28" s="24"/>
      <c r="WS28" s="109"/>
      <c r="WT28" s="24"/>
      <c r="WU28" s="24"/>
      <c r="WV28" s="24"/>
      <c r="WW28" s="24"/>
      <c r="WX28" s="24"/>
      <c r="WY28" s="56"/>
      <c r="WZ28" s="24"/>
      <c r="XA28" s="24"/>
      <c r="XB28" s="24"/>
      <c r="XC28" s="24"/>
      <c r="XD28" s="24"/>
      <c r="XE28" s="109"/>
      <c r="XF28" s="24"/>
      <c r="XG28" s="24"/>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49999999999999" customHeight="1" x14ac:dyDescent="0.25">
      <c r="A29" s="78" t="s">
        <v>26</v>
      </c>
      <c r="B29" s="51" t="str">
        <f>IF(LEN(C43)=0,"",C43)</f>
        <v>Doc - GitHub</v>
      </c>
      <c r="C29" s="190" t="s">
        <v>55</v>
      </c>
      <c r="D29" s="230" t="str">
        <f t="shared" si="0"/>
        <v>1h 15 min</v>
      </c>
      <c r="E29" s="26">
        <v>15</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157"/>
      <c r="FJ29" s="157"/>
      <c r="FK29" s="159"/>
      <c r="FL29" s="157"/>
      <c r="FM29" s="157"/>
      <c r="FN29" s="157"/>
      <c r="FO29" s="157"/>
      <c r="FP29" s="157"/>
      <c r="FQ29" s="158"/>
      <c r="FR29" s="28"/>
      <c r="FS29" s="28"/>
      <c r="FT29" s="28"/>
      <c r="FU29" s="28"/>
      <c r="FV29" s="28"/>
      <c r="FW29" s="57"/>
      <c r="FX29" s="28"/>
      <c r="FY29" s="28"/>
      <c r="FZ29" s="28"/>
      <c r="GA29" s="28"/>
      <c r="GB29" s="28"/>
      <c r="GC29" s="29"/>
      <c r="GD29" s="160"/>
      <c r="GE29" s="157"/>
      <c r="GF29" s="157"/>
      <c r="GG29" s="157"/>
      <c r="GH29" s="157"/>
      <c r="GI29" s="161"/>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49999999999999" customHeight="1" x14ac:dyDescent="0.4">
      <c r="A30" s="78" t="s">
        <v>27</v>
      </c>
      <c r="B30" s="51" t="str">
        <f>IF(LEN(C45)=0,"",C45)</f>
        <v>Doc - Journal de travail</v>
      </c>
      <c r="C30" s="196"/>
      <c r="D30" s="231" t="str">
        <f t="shared" si="0"/>
        <v xml:space="preserve"> 50 min</v>
      </c>
      <c r="E30" s="30">
        <v>10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168"/>
      <c r="GU30" s="169"/>
      <c r="GV30" s="168"/>
      <c r="GW30" s="168"/>
      <c r="GX30" s="168"/>
      <c r="GY30" s="168"/>
      <c r="GZ30" s="168"/>
      <c r="HA30" s="171"/>
      <c r="HB30" s="168"/>
      <c r="HC30" s="168"/>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49999999999999" customHeight="1" x14ac:dyDescent="0.25">
      <c r="A31" s="78" t="s">
        <v>26</v>
      </c>
      <c r="B31" s="51" t="str">
        <f>IF(LEN(C47)=0,"",C47)</f>
        <v>Doc - Rapport</v>
      </c>
      <c r="C31" s="190" t="s">
        <v>53</v>
      </c>
      <c r="D31" s="230" t="str">
        <f t="shared" si="0"/>
        <v>1h 40 min</v>
      </c>
      <c r="E31" s="34">
        <v>20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55"/>
      <c r="HB31" s="153"/>
      <c r="HC31" s="153"/>
      <c r="HD31" s="153"/>
      <c r="HE31" s="153"/>
      <c r="HF31" s="153"/>
      <c r="HG31" s="156"/>
      <c r="HH31" s="153"/>
      <c r="HI31" s="153"/>
      <c r="HJ31" s="153"/>
      <c r="HK31" s="153"/>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153"/>
      <c r="IS31" s="153"/>
      <c r="IT31" s="153"/>
      <c r="IU31" s="153"/>
      <c r="IV31" s="153"/>
      <c r="IW31" s="155"/>
      <c r="IX31" s="153"/>
      <c r="IY31" s="153"/>
      <c r="IZ31" s="153"/>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35"/>
      <c r="AMM31" s="36"/>
      <c r="AMN31" s="36"/>
      <c r="AMO31" s="36"/>
      <c r="AMP31" s="36"/>
      <c r="AMQ31" s="107"/>
      <c r="AMR31" s="36"/>
      <c r="AMS31" s="36"/>
      <c r="AMT31" s="36"/>
      <c r="AMU31" s="36"/>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49999999999999" customHeight="1" x14ac:dyDescent="0.4">
      <c r="A32" s="78" t="s">
        <v>27</v>
      </c>
      <c r="B32" s="51" t="str">
        <f>IF(LEN(C49)=0,"",C49)</f>
        <v>Meetings</v>
      </c>
      <c r="C32" s="228"/>
      <c r="D32" s="231" t="str">
        <f t="shared" si="0"/>
        <v>2h 10 min</v>
      </c>
      <c r="E32" s="22">
        <v>26</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165"/>
      <c r="LO32" s="165"/>
      <c r="LP32" s="165"/>
      <c r="LQ32" s="167"/>
      <c r="LR32" s="165"/>
      <c r="LS32" s="165"/>
      <c r="LT32" s="165"/>
      <c r="LU32" s="165"/>
      <c r="LV32" s="165"/>
      <c r="LW32" s="170"/>
      <c r="LX32" s="165"/>
      <c r="LY32" s="165"/>
      <c r="LZ32" s="165"/>
      <c r="MA32" s="165"/>
      <c r="MB32" s="165"/>
      <c r="MC32" s="167"/>
      <c r="MD32" s="165"/>
      <c r="ME32" s="165"/>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165"/>
      <c r="OA32" s="165"/>
      <c r="OB32" s="165"/>
      <c r="OC32" s="165"/>
      <c r="OD32" s="165"/>
      <c r="OE32" s="170"/>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165"/>
      <c r="QU32" s="165"/>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49999999999999" customHeight="1" x14ac:dyDescent="0.25">
      <c r="A33" s="78" t="s">
        <v>26</v>
      </c>
      <c r="B33" s="51" t="str">
        <f>IF(LEN(C51)=0,"",C51)</f>
        <v>Réalisation - API</v>
      </c>
      <c r="C33" s="190" t="s">
        <v>54</v>
      </c>
      <c r="D33" s="230" t="str">
        <f t="shared" si="0"/>
        <v xml:space="preserve"> 25 min</v>
      </c>
      <c r="E33" s="26">
        <v>5</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157"/>
      <c r="GW33" s="157"/>
      <c r="GX33" s="157"/>
      <c r="GY33" s="157"/>
      <c r="GZ33" s="157"/>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49999999999999" customHeight="1" x14ac:dyDescent="0.4">
      <c r="A34" s="78" t="s">
        <v>27</v>
      </c>
      <c r="B34" s="51" t="str">
        <f>IF(LEN(C53)=0,"",C53)</f>
        <v>Réalisation - Authentification</v>
      </c>
      <c r="C34" s="228"/>
      <c r="D34" s="231" t="str">
        <f t="shared" si="0"/>
        <v xml:space="preserve"> 10 min</v>
      </c>
      <c r="E34" s="30">
        <v>2</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32"/>
      <c r="FG34" s="32"/>
      <c r="FH34" s="32"/>
      <c r="FI34" s="32"/>
      <c r="FJ34" s="32"/>
      <c r="FK34" s="58"/>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168"/>
      <c r="HK34" s="168"/>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49999999999999" customHeight="1" x14ac:dyDescent="0.25">
      <c r="A35" s="78" t="s">
        <v>26</v>
      </c>
      <c r="B35" s="51" t="str">
        <f>IF(LEN(C55)=0,"",C55)</f>
        <v>Réalisation - Backend</v>
      </c>
      <c r="C35" s="190" t="s">
        <v>57</v>
      </c>
      <c r="D35" s="230" t="str">
        <f t="shared" si="0"/>
        <v>6h 10 min</v>
      </c>
      <c r="E35" s="34">
        <v>74</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152"/>
      <c r="KU35" s="153"/>
      <c r="KV35" s="153"/>
      <c r="KW35" s="153"/>
      <c r="KX35" s="153"/>
      <c r="KY35" s="154"/>
      <c r="KZ35" s="153"/>
      <c r="LA35" s="153"/>
      <c r="LB35" s="153"/>
      <c r="LC35" s="153"/>
      <c r="LD35" s="153"/>
      <c r="LE35" s="155"/>
      <c r="LF35" s="153"/>
      <c r="LG35" s="153"/>
      <c r="LH35" s="153"/>
      <c r="LI35" s="153"/>
      <c r="LJ35" s="153"/>
      <c r="LK35" s="156"/>
      <c r="LL35" s="153"/>
      <c r="LM35" s="153"/>
      <c r="LN35" s="153"/>
      <c r="LO35" s="153"/>
      <c r="LP35" s="153"/>
      <c r="LQ35" s="155"/>
      <c r="LR35" s="153"/>
      <c r="LS35" s="153"/>
      <c r="LT35" s="153"/>
      <c r="LU35" s="153"/>
      <c r="LV35" s="153"/>
      <c r="LW35" s="156"/>
      <c r="LX35" s="153"/>
      <c r="LY35" s="153"/>
      <c r="LZ35" s="153"/>
      <c r="MA35" s="153"/>
      <c r="MB35" s="153"/>
      <c r="MC35" s="155"/>
      <c r="MD35" s="153"/>
      <c r="ME35" s="153"/>
      <c r="MF35" s="36"/>
      <c r="MG35" s="36"/>
      <c r="MH35" s="36"/>
      <c r="MI35" s="59"/>
      <c r="MJ35" s="36"/>
      <c r="MK35" s="36"/>
      <c r="ML35" s="36"/>
      <c r="MM35" s="36"/>
      <c r="MN35" s="36"/>
      <c r="MO35" s="112"/>
      <c r="MP35" s="36"/>
      <c r="MQ35" s="36"/>
      <c r="MR35" s="36"/>
      <c r="MS35" s="36"/>
      <c r="MT35" s="36"/>
      <c r="MU35" s="59"/>
      <c r="MV35" s="36"/>
      <c r="MW35" s="36"/>
      <c r="MX35" s="36"/>
      <c r="MY35" s="36"/>
      <c r="MZ35" s="36"/>
      <c r="NA35" s="37"/>
      <c r="NB35" s="152"/>
      <c r="NC35" s="153"/>
      <c r="ND35" s="153"/>
      <c r="NE35" s="153"/>
      <c r="NF35" s="153"/>
      <c r="NG35" s="154"/>
      <c r="NH35" s="153"/>
      <c r="NI35" s="153"/>
      <c r="NJ35" s="153"/>
      <c r="NK35" s="153"/>
      <c r="NL35" s="153"/>
      <c r="NM35" s="155"/>
      <c r="NN35" s="153"/>
      <c r="NO35" s="153"/>
      <c r="NP35" s="153"/>
      <c r="NQ35" s="153"/>
      <c r="NR35" s="153"/>
      <c r="NS35" s="156"/>
      <c r="NT35" s="153"/>
      <c r="NU35" s="153"/>
      <c r="NV35" s="153"/>
      <c r="NW35" s="153"/>
      <c r="NX35" s="153"/>
      <c r="NY35" s="155"/>
      <c r="NZ35" s="153"/>
      <c r="OA35" s="153"/>
      <c r="OB35" s="153"/>
      <c r="OC35" s="153"/>
      <c r="OD35" s="153"/>
      <c r="OE35" s="156"/>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152"/>
      <c r="PK35" s="153"/>
      <c r="PL35" s="153"/>
      <c r="PM35" s="153"/>
      <c r="PN35" s="153"/>
      <c r="PO35" s="154"/>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49999999999999" customHeight="1" x14ac:dyDescent="0.25">
      <c r="A36" s="78" t="s">
        <v>27</v>
      </c>
      <c r="B36" s="51" t="str">
        <f>IF(LEN(C57)=0,"",C57)</f>
        <v>Réalisation - Base de données</v>
      </c>
      <c r="C36" s="196"/>
      <c r="D36" s="229" t="str">
        <f t="shared" si="0"/>
        <v>6h 45 min</v>
      </c>
      <c r="E36" s="22">
        <v>81</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24"/>
      <c r="FA36" s="24"/>
      <c r="FB36" s="24"/>
      <c r="FC36" s="24"/>
      <c r="FD36" s="24"/>
      <c r="FE36" s="109"/>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165"/>
      <c r="SB36" s="165"/>
      <c r="SC36" s="167"/>
      <c r="SD36" s="165"/>
      <c r="SE36" s="165"/>
      <c r="SF36" s="165"/>
      <c r="SG36" s="165"/>
      <c r="SH36" s="165"/>
      <c r="SI36" s="170"/>
      <c r="SJ36" s="165"/>
      <c r="SK36" s="165"/>
      <c r="SL36" s="165"/>
      <c r="SM36" s="165"/>
      <c r="SN36" s="165"/>
      <c r="SO36" s="167"/>
      <c r="SP36" s="165"/>
      <c r="SQ36" s="165"/>
      <c r="SR36" s="165"/>
      <c r="SS36" s="165"/>
      <c r="ST36" s="165"/>
      <c r="SU36" s="170"/>
      <c r="SV36" s="165"/>
      <c r="SW36" s="165"/>
      <c r="SX36" s="165"/>
      <c r="SY36" s="165"/>
      <c r="SZ36" s="165"/>
      <c r="TA36" s="167"/>
      <c r="TB36" s="165"/>
      <c r="TC36" s="165"/>
      <c r="TD36" s="24"/>
      <c r="TE36" s="24"/>
      <c r="TF36" s="24"/>
      <c r="TG36" s="56"/>
      <c r="TH36" s="24"/>
      <c r="TI36" s="24"/>
      <c r="TJ36" s="24"/>
      <c r="TK36" s="24"/>
      <c r="TL36" s="24"/>
      <c r="TM36" s="109"/>
      <c r="TN36" s="24"/>
      <c r="TO36" s="24"/>
      <c r="TP36" s="24"/>
      <c r="TQ36" s="24"/>
      <c r="TR36" s="24"/>
      <c r="TS36" s="56"/>
      <c r="TT36" s="24"/>
      <c r="TU36" s="24"/>
      <c r="TV36" s="24"/>
      <c r="TW36" s="24"/>
      <c r="TX36" s="24"/>
      <c r="TY36" s="25"/>
      <c r="TZ36" s="164"/>
      <c r="UA36" s="165"/>
      <c r="UB36" s="165"/>
      <c r="UC36" s="165"/>
      <c r="UD36" s="165"/>
      <c r="UE36" s="166"/>
      <c r="UF36" s="165"/>
      <c r="UG36" s="165"/>
      <c r="UH36" s="165"/>
      <c r="UI36" s="165"/>
      <c r="UJ36" s="165"/>
      <c r="UK36" s="167"/>
      <c r="UL36" s="165"/>
      <c r="UM36" s="165"/>
      <c r="UN36" s="165"/>
      <c r="UO36" s="165"/>
      <c r="UP36" s="165"/>
      <c r="UQ36" s="170"/>
      <c r="UR36" s="165"/>
      <c r="US36" s="165"/>
      <c r="UT36" s="165"/>
      <c r="UU36" s="165"/>
      <c r="UV36" s="165"/>
      <c r="UW36" s="167"/>
      <c r="UX36" s="165"/>
      <c r="UY36" s="165"/>
      <c r="UZ36" s="165"/>
      <c r="VA36" s="165"/>
      <c r="VB36" s="165"/>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164"/>
      <c r="WI36" s="165"/>
      <c r="WJ36" s="165"/>
      <c r="WK36" s="165"/>
      <c r="WL36" s="165"/>
      <c r="WM36" s="166"/>
      <c r="WN36" s="165"/>
      <c r="WO36" s="165"/>
      <c r="WP36" s="24"/>
      <c r="WQ36" s="24"/>
      <c r="WR36" s="24"/>
      <c r="WS36" s="109"/>
      <c r="WT36" s="165"/>
      <c r="WU36" s="165"/>
      <c r="WV36" s="165"/>
      <c r="WW36" s="165"/>
      <c r="WX36" s="165"/>
      <c r="WY36" s="170"/>
      <c r="WZ36" s="165"/>
      <c r="XA36" s="165"/>
      <c r="XB36" s="165"/>
      <c r="XC36" s="165"/>
      <c r="XD36" s="165"/>
      <c r="XE36" s="167"/>
      <c r="XF36" s="165"/>
      <c r="XG36" s="165"/>
      <c r="XH36" s="165"/>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49999999999999" customHeight="1" x14ac:dyDescent="0.25">
      <c r="A37" s="78" t="s">
        <v>26</v>
      </c>
      <c r="B37" s="51" t="str">
        <f>IF(LEN(C59)=0,"",C59)</f>
        <v>Réalisation - Docker</v>
      </c>
      <c r="C37" s="190" t="s">
        <v>56</v>
      </c>
      <c r="D37" s="230" t="str">
        <f t="shared" si="0"/>
        <v>2h 45 min</v>
      </c>
      <c r="E37" s="26">
        <v>33</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157"/>
      <c r="JB37" s="157"/>
      <c r="JC37" s="159"/>
      <c r="JD37" s="157"/>
      <c r="JE37" s="157"/>
      <c r="JF37" s="157"/>
      <c r="JG37" s="157"/>
      <c r="JH37" s="157"/>
      <c r="JI37" s="158"/>
      <c r="JJ37" s="157"/>
      <c r="JK37" s="157"/>
      <c r="JL37" s="157"/>
      <c r="JM37" s="157"/>
      <c r="JN37" s="157"/>
      <c r="JO37" s="159"/>
      <c r="JP37" s="157"/>
      <c r="JQ37" s="157"/>
      <c r="JR37" s="157"/>
      <c r="JS37" s="157"/>
      <c r="JT37" s="157"/>
      <c r="JU37" s="158"/>
      <c r="JV37" s="157"/>
      <c r="JW37" s="157"/>
      <c r="JX37" s="157"/>
      <c r="JY37" s="157"/>
      <c r="JZ37" s="157"/>
      <c r="KA37" s="159"/>
      <c r="KB37" s="157"/>
      <c r="KC37" s="157"/>
      <c r="KD37" s="157"/>
      <c r="KE37" s="157"/>
      <c r="KF37" s="157"/>
      <c r="KG37" s="158"/>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49999999999999" customHeight="1" x14ac:dyDescent="0.4">
      <c r="A38" s="78" t="s">
        <v>27</v>
      </c>
      <c r="B38" s="51" t="str">
        <f>IF(LEN(C61)=0,"",C61)</f>
        <v>Réalisation - Frontend Interfaces</v>
      </c>
      <c r="C38" s="228"/>
      <c r="D38" s="231" t="str">
        <f t="shared" si="0"/>
        <v>4h 25 min</v>
      </c>
      <c r="E38" s="30">
        <v>53</v>
      </c>
      <c r="F38" s="31"/>
      <c r="G38" s="32"/>
      <c r="H38" s="32"/>
      <c r="I38" s="32"/>
      <c r="J38" s="32"/>
      <c r="K38" s="106"/>
      <c r="L38" s="32"/>
      <c r="M38" s="32"/>
      <c r="N38" s="32"/>
      <c r="O38" s="32"/>
      <c r="P38" s="32"/>
      <c r="Q38" s="111"/>
      <c r="R38" s="32"/>
      <c r="S38" s="32"/>
      <c r="T38" s="32"/>
      <c r="U38" s="32"/>
      <c r="V38" s="32"/>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31"/>
      <c r="BO38" s="32"/>
      <c r="BP38" s="32"/>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32"/>
      <c r="IV38" s="32"/>
      <c r="IW38" s="111"/>
      <c r="IX38" s="32"/>
      <c r="IY38" s="32"/>
      <c r="IZ38" s="32"/>
      <c r="JA38" s="32"/>
      <c r="JB38" s="32"/>
      <c r="JC38" s="58"/>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168"/>
      <c r="OG38" s="168"/>
      <c r="OH38" s="168"/>
      <c r="OI38" s="168"/>
      <c r="OJ38" s="168"/>
      <c r="OK38" s="171"/>
      <c r="OL38" s="168"/>
      <c r="OM38" s="168"/>
      <c r="ON38" s="168"/>
      <c r="OO38" s="168"/>
      <c r="OP38" s="168"/>
      <c r="OQ38" s="169"/>
      <c r="OR38" s="168"/>
      <c r="OS38" s="168"/>
      <c r="OT38" s="168"/>
      <c r="OU38" s="168"/>
      <c r="OV38" s="168"/>
      <c r="OW38" s="171"/>
      <c r="OX38" s="32"/>
      <c r="OY38" s="32"/>
      <c r="OZ38" s="32"/>
      <c r="PA38" s="32"/>
      <c r="PB38" s="32"/>
      <c r="PC38" s="58"/>
      <c r="PD38" s="32"/>
      <c r="PE38" s="32"/>
      <c r="PF38" s="32"/>
      <c r="PG38" s="32"/>
      <c r="PH38" s="32"/>
      <c r="PI38" s="33"/>
      <c r="PJ38" s="31"/>
      <c r="PK38" s="32"/>
      <c r="PL38" s="32"/>
      <c r="PM38" s="32"/>
      <c r="PN38" s="32"/>
      <c r="PO38" s="106"/>
      <c r="PP38" s="32"/>
      <c r="PQ38" s="32"/>
      <c r="PR38" s="168"/>
      <c r="PS38" s="168"/>
      <c r="PT38" s="168"/>
      <c r="PU38" s="171"/>
      <c r="PV38" s="168"/>
      <c r="PW38" s="168"/>
      <c r="PX38" s="168"/>
      <c r="PY38" s="168"/>
      <c r="PZ38" s="168"/>
      <c r="QA38" s="169"/>
      <c r="QB38" s="168"/>
      <c r="QC38" s="168"/>
      <c r="QD38" s="168"/>
      <c r="QE38" s="168"/>
      <c r="QF38" s="168"/>
      <c r="QG38" s="171"/>
      <c r="QH38" s="168"/>
      <c r="QI38" s="168"/>
      <c r="QJ38" s="168"/>
      <c r="QK38" s="168"/>
      <c r="QL38" s="168"/>
      <c r="QM38" s="169"/>
      <c r="QN38" s="168"/>
      <c r="QO38" s="168"/>
      <c r="QP38" s="168"/>
      <c r="QQ38" s="168"/>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172"/>
      <c r="RS38" s="168"/>
      <c r="RT38" s="168"/>
      <c r="RU38" s="168"/>
      <c r="RV38" s="168"/>
      <c r="RW38" s="173"/>
      <c r="RX38" s="168"/>
      <c r="RY38" s="168"/>
      <c r="RZ38" s="168"/>
      <c r="SA38" s="32"/>
      <c r="SB38" s="32"/>
      <c r="SC38" s="111"/>
      <c r="SD38" s="32"/>
      <c r="SE38" s="32"/>
      <c r="SF38" s="32"/>
      <c r="SG38" s="32"/>
      <c r="SH38" s="32"/>
      <c r="SI38" s="58"/>
      <c r="SJ38" s="32"/>
      <c r="SK38" s="32"/>
      <c r="SL38" s="32"/>
      <c r="SM38" s="32"/>
      <c r="SN38" s="32"/>
      <c r="SO38" s="111"/>
      <c r="SP38" s="32"/>
      <c r="SQ38" s="32"/>
      <c r="SR38" s="32"/>
      <c r="SS38" s="32"/>
      <c r="ST38" s="32"/>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49999999999999" customHeight="1" x14ac:dyDescent="0.25">
      <c r="A39" s="78" t="s">
        <v>26</v>
      </c>
      <c r="B39" s="51" t="str">
        <f>IF(LEN(C63)=0,"",C63)</f>
        <v>Réalisation - Frontend Logique</v>
      </c>
      <c r="C39" s="190" t="s">
        <v>64</v>
      </c>
      <c r="D39" s="230"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153"/>
      <c r="OG39" s="153"/>
      <c r="OH39" s="153"/>
      <c r="OI39" s="153"/>
      <c r="OJ39" s="153"/>
      <c r="OK39" s="155"/>
      <c r="OL39" s="153"/>
      <c r="OM39" s="153"/>
      <c r="ON39" s="153"/>
      <c r="OO39" s="153"/>
      <c r="OP39" s="153"/>
      <c r="OQ39" s="156"/>
      <c r="OR39" s="153"/>
      <c r="OS39" s="153"/>
      <c r="OT39" s="153"/>
      <c r="OU39" s="153"/>
      <c r="OV39" s="153"/>
      <c r="OW39" s="155"/>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49999999999999" customHeight="1" x14ac:dyDescent="0.25">
      <c r="A40" s="78" t="s">
        <v>27</v>
      </c>
      <c r="B40" s="51" t="str">
        <f>IF(LEN(C65)=0,"",C65)</f>
        <v>Réalisation - Intégration</v>
      </c>
      <c r="C40" s="196"/>
      <c r="D40" s="229" t="str">
        <f t="shared" si="0"/>
        <v/>
      </c>
      <c r="E40" s="22">
        <v>0</v>
      </c>
      <c r="F40" s="23"/>
      <c r="G40" s="24"/>
      <c r="H40" s="24"/>
      <c r="I40" s="24"/>
      <c r="J40" s="24"/>
      <c r="K40" s="104"/>
      <c r="L40" s="24"/>
      <c r="M40" s="24"/>
      <c r="N40" s="24"/>
      <c r="O40" s="24"/>
      <c r="P40" s="24"/>
      <c r="Q40" s="109"/>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49999999999999" customHeight="1" x14ac:dyDescent="0.25">
      <c r="A41" s="78" t="s">
        <v>26</v>
      </c>
      <c r="B41" s="51" t="str">
        <f>IF(LEN(C67)=0,"",C67)</f>
        <v>Réalisation - Sécurité</v>
      </c>
      <c r="C41" s="190" t="s">
        <v>66</v>
      </c>
      <c r="D41" s="230"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157"/>
      <c r="GK41" s="157"/>
      <c r="GL41" s="157"/>
      <c r="GM41" s="157"/>
      <c r="GN41" s="157"/>
      <c r="GO41" s="158"/>
      <c r="GP41" s="157"/>
      <c r="GQ41" s="157"/>
      <c r="GR41" s="157"/>
      <c r="GS41" s="157"/>
      <c r="GT41" s="157"/>
      <c r="GU41" s="159"/>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160"/>
      <c r="IM41" s="157"/>
      <c r="IN41" s="157"/>
      <c r="IO41" s="157"/>
      <c r="IP41" s="157"/>
      <c r="IQ41" s="161"/>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49999999999999" customHeight="1" x14ac:dyDescent="0.4">
      <c r="A42" s="78" t="s">
        <v>27</v>
      </c>
      <c r="B42" s="51" t="str">
        <f>IF(LEN(C69)=0,"",C69)</f>
        <v>Test - E2E</v>
      </c>
      <c r="C42" s="196"/>
      <c r="D42" s="231" t="str">
        <f t="shared" si="0"/>
        <v>5h 10 min</v>
      </c>
      <c r="E42" s="30">
        <v>62</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168"/>
      <c r="HE42" s="168"/>
      <c r="HF42" s="168"/>
      <c r="HG42" s="169"/>
      <c r="HH42" s="168"/>
      <c r="HI42" s="168"/>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168"/>
      <c r="JK42" s="168"/>
      <c r="JL42" s="168"/>
      <c r="JM42" s="168"/>
      <c r="JN42" s="168"/>
      <c r="JO42" s="169"/>
      <c r="JP42" s="168"/>
      <c r="JQ42" s="168"/>
      <c r="JR42" s="168"/>
      <c r="JS42" s="168"/>
      <c r="JT42" s="168"/>
      <c r="JU42" s="171"/>
      <c r="JV42" s="168"/>
      <c r="JW42" s="168"/>
      <c r="JX42" s="168"/>
      <c r="JY42" s="168"/>
      <c r="JZ42" s="168"/>
      <c r="KA42" s="169"/>
      <c r="KB42" s="168"/>
      <c r="KC42" s="168"/>
      <c r="KD42" s="168"/>
      <c r="KE42" s="168"/>
      <c r="KF42" s="168"/>
      <c r="KG42" s="171"/>
      <c r="KH42" s="32"/>
      <c r="KI42" s="32"/>
      <c r="KJ42" s="32"/>
      <c r="KK42" s="32"/>
      <c r="KL42" s="32"/>
      <c r="KM42" s="58"/>
      <c r="KN42" s="32"/>
      <c r="KO42" s="32"/>
      <c r="KP42" s="32"/>
      <c r="KQ42" s="32"/>
      <c r="KR42" s="32"/>
      <c r="KS42" s="33"/>
      <c r="KT42" s="31"/>
      <c r="KU42" s="32"/>
      <c r="KV42" s="32"/>
      <c r="KW42" s="32"/>
      <c r="KX42" s="32"/>
      <c r="KY42" s="106"/>
      <c r="KZ42" s="32"/>
      <c r="LA42" s="32"/>
      <c r="LB42" s="168"/>
      <c r="LC42" s="168"/>
      <c r="LD42" s="168"/>
      <c r="LE42" s="171"/>
      <c r="LF42" s="168"/>
      <c r="LG42" s="168"/>
      <c r="LH42" s="168"/>
      <c r="LI42" s="168"/>
      <c r="LJ42" s="168"/>
      <c r="LK42" s="169"/>
      <c r="LL42" s="168"/>
      <c r="LM42" s="168"/>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172"/>
      <c r="NC42" s="168"/>
      <c r="ND42" s="168"/>
      <c r="NE42" s="168"/>
      <c r="NF42" s="168"/>
      <c r="NG42" s="173"/>
      <c r="NH42" s="168"/>
      <c r="NI42" s="168"/>
      <c r="NJ42" s="168"/>
      <c r="NK42" s="168"/>
      <c r="NL42" s="168"/>
      <c r="NM42" s="171"/>
      <c r="NN42" s="168"/>
      <c r="NO42" s="168"/>
      <c r="NP42" s="168"/>
      <c r="NQ42" s="168"/>
      <c r="NR42" s="168"/>
      <c r="NS42" s="169"/>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168"/>
      <c r="QS42" s="17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49999999999999" customHeight="1" x14ac:dyDescent="0.25">
      <c r="A43" s="78" t="s">
        <v>26</v>
      </c>
      <c r="B43" s="51" t="str">
        <f>IF(LEN(C71)=0,"",C71)</f>
        <v>Test - Intégration</v>
      </c>
      <c r="C43" s="190" t="s">
        <v>49</v>
      </c>
      <c r="D43" s="230" t="str">
        <f t="shared" si="0"/>
        <v>1h 5 min</v>
      </c>
      <c r="E43" s="26">
        <v>13</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157"/>
      <c r="CI43" s="157"/>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157"/>
      <c r="ASI43" s="157"/>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157"/>
      <c r="BBO43" s="157"/>
      <c r="BBP43" s="157"/>
      <c r="BBQ43" s="158"/>
      <c r="BBR43" s="157"/>
      <c r="BBS43" s="157"/>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157"/>
      <c r="BHM43" s="157"/>
      <c r="BHN43" s="157"/>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49999999999999" customHeight="1" x14ac:dyDescent="0.4">
      <c r="A44" s="78" t="s">
        <v>27</v>
      </c>
      <c r="B44" s="51" t="str">
        <f>IF(LEN(C73)=0,"",C73)</f>
        <v>Test - Sécurité</v>
      </c>
      <c r="C44" s="196"/>
      <c r="D44" s="231" t="str">
        <f t="shared" si="0"/>
        <v>1h</v>
      </c>
      <c r="E44" s="30">
        <v>12</v>
      </c>
      <c r="F44" s="31"/>
      <c r="G44" s="32"/>
      <c r="H44" s="32"/>
      <c r="I44" s="32"/>
      <c r="J44" s="32"/>
      <c r="K44" s="106"/>
      <c r="L44" s="32"/>
      <c r="M44" s="32"/>
      <c r="N44" s="32"/>
      <c r="O44" s="32"/>
      <c r="P44" s="32"/>
      <c r="Q44" s="111"/>
      <c r="R44" s="32"/>
      <c r="S44" s="32"/>
      <c r="T44" s="32"/>
      <c r="U44" s="32"/>
      <c r="V44" s="32"/>
      <c r="W44" s="58"/>
      <c r="X44" s="32"/>
      <c r="Y44" s="32"/>
      <c r="Z44" s="168"/>
      <c r="AA44" s="168"/>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168"/>
      <c r="ZW44" s="168"/>
      <c r="ZX44" s="168"/>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71"/>
      <c r="AXB44" s="168"/>
      <c r="AXC44" s="168"/>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168"/>
      <c r="BHV44" s="168"/>
      <c r="BHW44" s="169"/>
      <c r="BHX44" s="168"/>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49999999999999" customHeight="1" x14ac:dyDescent="0.25">
      <c r="A45" s="78" t="s">
        <v>26</v>
      </c>
      <c r="B45" s="51" t="str">
        <f>IF(LEN(C75)=0,"",C75)</f>
        <v>Test - Unitaires</v>
      </c>
      <c r="C45" s="190" t="s">
        <v>29</v>
      </c>
      <c r="D45" s="230" t="str">
        <f t="shared" si="0"/>
        <v>1h 55 min</v>
      </c>
      <c r="E45" s="34">
        <v>23</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153"/>
      <c r="CK45" s="155"/>
      <c r="CL45" s="153"/>
      <c r="CM45" s="153"/>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153"/>
      <c r="HM45" s="155"/>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153"/>
      <c r="QR45" s="153"/>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153"/>
      <c r="ZW45" s="153"/>
      <c r="ZX45" s="153"/>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153"/>
      <c r="AJE45" s="155"/>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153"/>
      <c r="ASK45" s="155"/>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153"/>
      <c r="AXA45" s="155"/>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152"/>
      <c r="BHG45" s="153"/>
      <c r="BHH45" s="153"/>
      <c r="BHI45" s="153"/>
      <c r="BHJ45" s="153"/>
      <c r="BHK45" s="154"/>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49999999999999" customHeight="1" x14ac:dyDescent="0.25">
      <c r="A46" s="78" t="s">
        <v>27</v>
      </c>
      <c r="B46" s="51" t="str">
        <f>IF(LEN(C77)=0,"",C77)</f>
        <v/>
      </c>
      <c r="C46" s="196"/>
      <c r="D46" s="229" t="str">
        <f t="shared" si="0"/>
        <v>1h 10 min</v>
      </c>
      <c r="E46" s="30">
        <v>14</v>
      </c>
      <c r="F46" s="31"/>
      <c r="G46" s="32"/>
      <c r="H46" s="32"/>
      <c r="I46" s="32"/>
      <c r="J46" s="32"/>
      <c r="K46" s="106"/>
      <c r="L46" s="32"/>
      <c r="M46" s="32"/>
      <c r="N46" s="32"/>
      <c r="O46" s="32"/>
      <c r="P46" s="32"/>
      <c r="Q46" s="111"/>
      <c r="R46" s="32"/>
      <c r="S46" s="32"/>
      <c r="T46" s="32"/>
      <c r="U46" s="32"/>
      <c r="V46" s="32"/>
      <c r="W46" s="58"/>
      <c r="X46" s="32"/>
      <c r="Y46" s="32"/>
      <c r="Z46" s="32"/>
      <c r="AA46" s="32"/>
      <c r="AB46" s="168"/>
      <c r="AC46" s="17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172"/>
      <c r="BO46" s="168"/>
      <c r="BP46" s="168"/>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168"/>
      <c r="HM46" s="17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172"/>
      <c r="KU46" s="168"/>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168"/>
      <c r="PO46" s="173"/>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71"/>
      <c r="ZZ46" s="168"/>
      <c r="AAA46" s="168"/>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49999999999999" customHeight="1" x14ac:dyDescent="0.25">
      <c r="A47" s="78" t="s">
        <v>26</v>
      </c>
      <c r="B47" s="51" t="str">
        <f>IF(LEN(C79)=0,"",C79)</f>
        <v/>
      </c>
      <c r="C47" s="190" t="s">
        <v>30</v>
      </c>
      <c r="D47" s="230" t="str">
        <f t="shared" si="0"/>
        <v>11h 45 min</v>
      </c>
      <c r="E47" s="34">
        <v>141</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153"/>
      <c r="CO47" s="153"/>
      <c r="CP47" s="153"/>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153"/>
      <c r="HO47" s="153"/>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153"/>
      <c r="QP47" s="153"/>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55"/>
      <c r="ZZ47" s="153"/>
      <c r="AAA47" s="153"/>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153"/>
      <c r="AJG47" s="153"/>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153"/>
      <c r="ASM47" s="153"/>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153"/>
      <c r="ATZ47" s="153"/>
      <c r="AUA47" s="156"/>
      <c r="AUB47" s="153"/>
      <c r="AUC47" s="153"/>
      <c r="AUD47" s="153"/>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152"/>
      <c r="AVS47" s="153"/>
      <c r="AVT47" s="153"/>
      <c r="AVU47" s="153"/>
      <c r="AVV47" s="153"/>
      <c r="AVW47" s="154"/>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153"/>
      <c r="AXC47" s="153"/>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153"/>
      <c r="AYU47" s="153"/>
      <c r="AYV47" s="153"/>
      <c r="AYW47" s="155"/>
      <c r="AYX47" s="153"/>
      <c r="AYY47" s="153"/>
      <c r="AYZ47" s="153"/>
      <c r="AZA47" s="153"/>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152"/>
      <c r="BAI47" s="153"/>
      <c r="BAJ47" s="153"/>
      <c r="BAK47" s="153"/>
      <c r="BAL47" s="153"/>
      <c r="BAM47" s="154"/>
      <c r="BAN47" s="153"/>
      <c r="BAO47" s="153"/>
      <c r="BAP47" s="153"/>
      <c r="BAQ47" s="153"/>
      <c r="BAR47" s="153"/>
      <c r="BAS47" s="155"/>
      <c r="BAT47" s="153"/>
      <c r="BAU47" s="153"/>
      <c r="BAV47" s="153"/>
      <c r="BAW47" s="153"/>
      <c r="BAX47" s="153"/>
      <c r="BAY47" s="156"/>
      <c r="BAZ47" s="153"/>
      <c r="BBA47" s="153"/>
      <c r="BBB47" s="153"/>
      <c r="BBC47" s="153"/>
      <c r="BBD47" s="153"/>
      <c r="BBE47" s="155"/>
      <c r="BBF47" s="153"/>
      <c r="BBG47" s="153"/>
      <c r="BBH47" s="153"/>
      <c r="BBI47" s="153"/>
      <c r="BBJ47" s="153"/>
      <c r="BBK47" s="156"/>
      <c r="BBL47" s="153"/>
      <c r="BBM47" s="153"/>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152"/>
      <c r="BCQ47" s="153"/>
      <c r="BCR47" s="153"/>
      <c r="BCS47" s="153"/>
      <c r="BCT47" s="153"/>
      <c r="BCU47" s="154"/>
      <c r="BCV47" s="153"/>
      <c r="BCW47" s="153"/>
      <c r="BCX47" s="153"/>
      <c r="BCY47" s="153"/>
      <c r="BCZ47" s="153"/>
      <c r="BDA47" s="155"/>
      <c r="BDB47" s="153"/>
      <c r="BDC47" s="153"/>
      <c r="BDD47" s="153"/>
      <c r="BDE47" s="153"/>
      <c r="BDF47" s="153"/>
      <c r="BDG47" s="156"/>
      <c r="BDH47" s="153"/>
      <c r="BDI47" s="153"/>
      <c r="BDJ47" s="153"/>
      <c r="BDK47" s="153"/>
      <c r="BDL47" s="153"/>
      <c r="BDM47" s="155"/>
      <c r="BDN47" s="153"/>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152"/>
      <c r="BEY47" s="153"/>
      <c r="BEZ47" s="153"/>
      <c r="BFA47" s="153"/>
      <c r="BFB47" s="153"/>
      <c r="BFC47" s="154"/>
      <c r="BFD47" s="153"/>
      <c r="BFE47" s="153"/>
      <c r="BFF47" s="153"/>
      <c r="BFG47" s="153"/>
      <c r="BFH47" s="153"/>
      <c r="BFI47" s="155"/>
      <c r="BFJ47" s="153"/>
      <c r="BFK47" s="153"/>
      <c r="BFL47" s="153"/>
      <c r="BFM47" s="153"/>
      <c r="BFN47" s="153"/>
      <c r="BFO47" s="156"/>
      <c r="BFP47" s="153"/>
      <c r="BFQ47" s="153"/>
      <c r="BFR47" s="153"/>
      <c r="BFS47" s="153"/>
      <c r="BFT47" s="153"/>
      <c r="BFU47" s="155"/>
      <c r="BFV47" s="153"/>
      <c r="BFW47" s="153"/>
      <c r="BFX47" s="153"/>
      <c r="BFY47" s="153"/>
      <c r="BFZ47" s="153"/>
      <c r="BGA47" s="156"/>
      <c r="BGB47" s="153"/>
      <c r="BGC47" s="153"/>
      <c r="BGD47" s="153"/>
      <c r="BGE47" s="153"/>
      <c r="BGF47" s="153"/>
      <c r="BGG47" s="155"/>
      <c r="BGH47" s="153"/>
      <c r="BGI47" s="153"/>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153"/>
      <c r="BHP47" s="153"/>
      <c r="BHQ47" s="155"/>
      <c r="BHR47" s="153"/>
      <c r="BHS47" s="153"/>
      <c r="BHT47" s="153"/>
      <c r="BHU47" s="153"/>
      <c r="BHV47" s="153"/>
      <c r="BHW47" s="156"/>
      <c r="BHX47" s="153"/>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49999999999999" customHeight="1" x14ac:dyDescent="0.4">
      <c r="A48" s="78" t="s">
        <v>27</v>
      </c>
      <c r="B48" s="51" t="str">
        <f>IF(LEN(C81)=0,"",C81)</f>
        <v/>
      </c>
      <c r="C48" s="228"/>
      <c r="D48" s="231" t="str">
        <f t="shared" si="0"/>
        <v>15h 50 min</v>
      </c>
      <c r="E48" s="22">
        <v>190</v>
      </c>
      <c r="F48" s="23"/>
      <c r="G48" s="24"/>
      <c r="H48" s="24"/>
      <c r="I48" s="24"/>
      <c r="J48" s="24"/>
      <c r="K48" s="104"/>
      <c r="L48" s="24"/>
      <c r="M48" s="24"/>
      <c r="N48" s="24"/>
      <c r="O48" s="24"/>
      <c r="P48" s="24"/>
      <c r="Q48" s="109"/>
      <c r="R48" s="24"/>
      <c r="S48" s="24"/>
      <c r="T48" s="24"/>
      <c r="U48" s="24"/>
      <c r="V48" s="24"/>
      <c r="W48" s="56"/>
      <c r="X48" s="24"/>
      <c r="Y48" s="24"/>
      <c r="Z48" s="24"/>
      <c r="AA48" s="24"/>
      <c r="AB48" s="24"/>
      <c r="AC48" s="109"/>
      <c r="AD48" s="165"/>
      <c r="AE48" s="165"/>
      <c r="AF48" s="24"/>
      <c r="AG48" s="24"/>
      <c r="AH48" s="24"/>
      <c r="AI48" s="56"/>
      <c r="AJ48" s="24"/>
      <c r="AK48" s="24"/>
      <c r="AL48" s="24"/>
      <c r="AM48" s="24"/>
      <c r="AN48" s="24"/>
      <c r="AO48" s="109"/>
      <c r="AP48" s="24"/>
      <c r="AQ48" s="24"/>
      <c r="AR48" s="24"/>
      <c r="AS48" s="24"/>
      <c r="AT48" s="24"/>
      <c r="AU48" s="56"/>
      <c r="AV48" s="24"/>
      <c r="AW48" s="24"/>
      <c r="AX48" s="24"/>
      <c r="AY48" s="24"/>
      <c r="AZ48" s="24"/>
      <c r="BA48" s="109"/>
      <c r="BB48" s="24"/>
      <c r="BC48" s="24"/>
      <c r="BD48" s="24"/>
      <c r="BE48" s="24"/>
      <c r="BF48" s="24"/>
      <c r="BG48" s="56"/>
      <c r="BH48" s="24"/>
      <c r="BI48" s="24"/>
      <c r="BJ48" s="24"/>
      <c r="BK48" s="24"/>
      <c r="BL48" s="24"/>
      <c r="BM48" s="25"/>
      <c r="BN48" s="23"/>
      <c r="BO48" s="24"/>
      <c r="BP48" s="24"/>
      <c r="BQ48" s="24"/>
      <c r="BR48" s="24"/>
      <c r="BS48" s="104"/>
      <c r="BT48" s="24"/>
      <c r="BU48" s="24"/>
      <c r="BV48" s="24"/>
      <c r="BW48" s="24"/>
      <c r="BX48" s="24"/>
      <c r="BY48" s="109"/>
      <c r="BZ48" s="24"/>
      <c r="CA48" s="24"/>
      <c r="CB48" s="24"/>
      <c r="CC48" s="24"/>
      <c r="CD48" s="24"/>
      <c r="CE48" s="56"/>
      <c r="CF48" s="24"/>
      <c r="CG48" s="24"/>
      <c r="CH48" s="24"/>
      <c r="CI48" s="24"/>
      <c r="CJ48" s="24"/>
      <c r="CK48" s="109"/>
      <c r="CL48" s="24"/>
      <c r="CM48" s="24"/>
      <c r="CN48" s="24"/>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165"/>
      <c r="HO48" s="165"/>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165"/>
      <c r="KW48" s="165"/>
      <c r="KX48" s="165"/>
      <c r="KY48" s="166"/>
      <c r="KZ48" s="165"/>
      <c r="LA48" s="165"/>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165"/>
      <c r="PQ48" s="165"/>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165"/>
      <c r="ZO48" s="165"/>
      <c r="ZP48" s="165"/>
      <c r="ZQ48" s="165"/>
      <c r="ZR48" s="165"/>
      <c r="ZS48" s="170"/>
      <c r="ZT48" s="165"/>
      <c r="ZU48" s="165"/>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165"/>
      <c r="AEE48" s="165"/>
      <c r="AEF48" s="165"/>
      <c r="AEG48" s="165"/>
      <c r="AEH48" s="165"/>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165"/>
      <c r="AIM48" s="170"/>
      <c r="AIN48" s="165"/>
      <c r="AIO48" s="165"/>
      <c r="AIP48" s="165"/>
      <c r="AIQ48" s="165"/>
      <c r="AIR48" s="165"/>
      <c r="AIS48" s="167"/>
      <c r="AIT48" s="165"/>
      <c r="AIU48" s="165"/>
      <c r="AIV48" s="165"/>
      <c r="AIW48" s="165"/>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164"/>
      <c r="AVS48" s="165"/>
      <c r="AVT48" s="165"/>
      <c r="AVU48" s="165"/>
      <c r="AVV48" s="165"/>
      <c r="AVW48" s="166"/>
      <c r="AVX48" s="165"/>
      <c r="AVY48" s="165"/>
      <c r="AVZ48" s="165"/>
      <c r="AWA48" s="165"/>
      <c r="AWB48" s="165"/>
      <c r="AWC48" s="167"/>
      <c r="AWD48" s="165"/>
      <c r="AWE48" s="165"/>
      <c r="AWF48" s="165"/>
      <c r="AWG48" s="165"/>
      <c r="AWH48" s="165"/>
      <c r="AWI48" s="170"/>
      <c r="AWJ48" s="165"/>
      <c r="AWK48" s="165"/>
      <c r="AWL48" s="165"/>
      <c r="AWM48" s="165"/>
      <c r="AWN48" s="165"/>
      <c r="AWO48" s="167"/>
      <c r="AWP48" s="165"/>
      <c r="AWQ48" s="165"/>
      <c r="AWR48" s="165"/>
      <c r="AWS48" s="165"/>
      <c r="AWT48" s="165"/>
      <c r="AWU48" s="170"/>
      <c r="AWV48" s="165"/>
      <c r="AWW48" s="165"/>
      <c r="AWX48" s="165"/>
      <c r="AWY48" s="165"/>
      <c r="AWZ48" s="165"/>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165"/>
      <c r="BAR48" s="165"/>
      <c r="BAS48" s="167"/>
      <c r="BAT48" s="165"/>
      <c r="BAU48" s="165"/>
      <c r="BAV48" s="165"/>
      <c r="BAW48" s="165"/>
      <c r="BAX48" s="165"/>
      <c r="BAY48" s="170"/>
      <c r="BAZ48" s="165"/>
      <c r="BBA48" s="165"/>
      <c r="BBB48" s="165"/>
      <c r="BBC48" s="165"/>
      <c r="BBD48" s="165"/>
      <c r="BBE48" s="167"/>
      <c r="BBF48" s="165"/>
      <c r="BBG48" s="165"/>
      <c r="BBH48" s="165"/>
      <c r="BBI48" s="165"/>
      <c r="BBJ48" s="165"/>
      <c r="BBK48" s="170"/>
      <c r="BBL48" s="165"/>
      <c r="BBM48" s="165"/>
      <c r="BBN48" s="165"/>
      <c r="BBO48" s="165"/>
      <c r="BBP48" s="165"/>
      <c r="BBQ48" s="167"/>
      <c r="BBR48" s="165"/>
      <c r="BBS48" s="165"/>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164"/>
      <c r="BCQ48" s="165"/>
      <c r="BCR48" s="165"/>
      <c r="BCS48" s="165"/>
      <c r="BCT48" s="165"/>
      <c r="BCU48" s="166"/>
      <c r="BCV48" s="165"/>
      <c r="BCW48" s="165"/>
      <c r="BCX48" s="165"/>
      <c r="BCY48" s="165"/>
      <c r="BCZ48" s="165"/>
      <c r="BDA48" s="167"/>
      <c r="BDB48" s="165"/>
      <c r="BDC48" s="165"/>
      <c r="BDD48" s="165"/>
      <c r="BDE48" s="165"/>
      <c r="BDF48" s="165"/>
      <c r="BDG48" s="170"/>
      <c r="BDH48" s="165"/>
      <c r="BDI48" s="165"/>
      <c r="BDJ48" s="165"/>
      <c r="BDK48" s="165"/>
      <c r="BDL48" s="165"/>
      <c r="BDM48" s="167"/>
      <c r="BDN48" s="165"/>
      <c r="BDO48" s="165"/>
      <c r="BDP48" s="165"/>
      <c r="BDQ48" s="165"/>
      <c r="BDR48" s="165"/>
      <c r="BDS48" s="170"/>
      <c r="BDT48" s="165"/>
      <c r="BDU48" s="165"/>
      <c r="BDV48" s="165"/>
      <c r="BDW48" s="165"/>
      <c r="BDX48" s="165"/>
      <c r="BDY48" s="167"/>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164"/>
      <c r="BEY48" s="165"/>
      <c r="BEZ48" s="165"/>
      <c r="BFA48" s="165"/>
      <c r="BFB48" s="165"/>
      <c r="BFC48" s="166"/>
      <c r="BFD48" s="165"/>
      <c r="BFE48" s="165"/>
      <c r="BFF48" s="165"/>
      <c r="BFG48" s="165"/>
      <c r="BFH48" s="165"/>
      <c r="BFI48" s="167"/>
      <c r="BFJ48" s="165"/>
      <c r="BFK48" s="165"/>
      <c r="BFL48" s="165"/>
      <c r="BFM48" s="165"/>
      <c r="BFN48" s="165"/>
      <c r="BFO48" s="170"/>
      <c r="BFP48" s="165"/>
      <c r="BFQ48" s="165"/>
      <c r="BFR48" s="165"/>
      <c r="BFS48" s="165"/>
      <c r="BFT48" s="165"/>
      <c r="BFU48" s="167"/>
      <c r="BFV48" s="165"/>
      <c r="BFW48" s="165"/>
      <c r="BFX48" s="165"/>
      <c r="BFY48" s="165"/>
      <c r="BFZ48" s="165"/>
      <c r="BGA48" s="170"/>
      <c r="BGB48" s="165"/>
      <c r="BGC48" s="165"/>
      <c r="BGD48" s="165"/>
      <c r="BGE48" s="165"/>
      <c r="BGF48" s="165"/>
      <c r="BGG48" s="167"/>
      <c r="BGH48" s="165"/>
      <c r="BGI48" s="165"/>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164"/>
      <c r="BHG48" s="165"/>
      <c r="BHH48" s="165"/>
      <c r="BHI48" s="165"/>
      <c r="BHJ48" s="165"/>
      <c r="BHK48" s="166"/>
      <c r="BHL48" s="165"/>
      <c r="BHM48" s="165"/>
      <c r="BHN48" s="165"/>
      <c r="BHO48" s="165"/>
      <c r="BHP48" s="165"/>
      <c r="BHQ48" s="167"/>
      <c r="BHR48" s="165"/>
      <c r="BHS48" s="165"/>
      <c r="BHT48" s="165"/>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49999999999999" customHeight="1" x14ac:dyDescent="0.25">
      <c r="A49" s="78" t="s">
        <v>26</v>
      </c>
      <c r="B49" s="51" t="str">
        <f>IF(LEN(C83)=0,"",C83)</f>
        <v/>
      </c>
      <c r="C49" s="190" t="s">
        <v>73</v>
      </c>
      <c r="D49" s="230" t="str">
        <f t="shared" si="0"/>
        <v>1h 15 min</v>
      </c>
      <c r="E49" s="26">
        <v>15</v>
      </c>
      <c r="F49" s="160"/>
      <c r="G49" s="157"/>
      <c r="H49" s="157"/>
      <c r="I49" s="157"/>
      <c r="J49" s="157"/>
      <c r="K49" s="161"/>
      <c r="L49" s="157"/>
      <c r="M49" s="157"/>
      <c r="N49" s="157"/>
      <c r="O49" s="157"/>
      <c r="P49" s="157"/>
      <c r="Q49" s="158"/>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58"/>
      <c r="QT49" s="157"/>
      <c r="QU49" s="157"/>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49999999999999" customHeight="1" x14ac:dyDescent="0.4">
      <c r="A50" s="78" t="s">
        <v>27</v>
      </c>
      <c r="B50" s="51" t="str">
        <f>IF(LEN(C85)=0,"",C85)</f>
        <v/>
      </c>
      <c r="C50" s="196"/>
      <c r="D50" s="231" t="str">
        <f t="shared" si="0"/>
        <v>2h 25 min</v>
      </c>
      <c r="E50" s="30">
        <v>29</v>
      </c>
      <c r="F50" s="172"/>
      <c r="G50" s="168"/>
      <c r="H50" s="168"/>
      <c r="I50" s="168"/>
      <c r="J50" s="168"/>
      <c r="K50" s="173"/>
      <c r="L50" s="168"/>
      <c r="M50" s="168"/>
      <c r="N50" s="168"/>
      <c r="O50" s="168"/>
      <c r="P50" s="168"/>
      <c r="Q50" s="17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172"/>
      <c r="DW50" s="168"/>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2"/>
      <c r="PK50" s="168"/>
      <c r="PL50" s="168"/>
      <c r="PM50" s="168"/>
      <c r="PN50" s="32"/>
      <c r="PO50" s="106"/>
      <c r="PP50" s="32"/>
      <c r="PQ50" s="32"/>
      <c r="PR50" s="32"/>
      <c r="PS50" s="32"/>
      <c r="PT50" s="32"/>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168"/>
      <c r="WQ50" s="168"/>
      <c r="WR50" s="168"/>
      <c r="WS50" s="17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168"/>
      <c r="AHG50" s="168"/>
      <c r="AHH50" s="168"/>
      <c r="AHI50" s="17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169"/>
      <c r="ALT50" s="168"/>
      <c r="ALU50" s="168"/>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49999999999999" customHeight="1" x14ac:dyDescent="0.25">
      <c r="A51" s="78" t="s">
        <v>26</v>
      </c>
      <c r="B51" s="51" t="str">
        <f>IF(LEN(C87)=0,"",C87)</f>
        <v/>
      </c>
      <c r="C51" s="190" t="s">
        <v>60</v>
      </c>
      <c r="D51" s="230" t="str">
        <f t="shared" si="0"/>
        <v>5h 30 min</v>
      </c>
      <c r="E51" s="34">
        <v>66</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152"/>
      <c r="WI51" s="153"/>
      <c r="WJ51" s="153"/>
      <c r="WK51" s="153"/>
      <c r="WL51" s="153"/>
      <c r="WM51" s="154"/>
      <c r="WN51" s="153"/>
      <c r="WO51" s="153"/>
      <c r="WP51" s="153"/>
      <c r="WQ51" s="153"/>
      <c r="WR51" s="153"/>
      <c r="WS51" s="155"/>
      <c r="WT51" s="153"/>
      <c r="WU51" s="153"/>
      <c r="WV51" s="153"/>
      <c r="WW51" s="153"/>
      <c r="WX51" s="153"/>
      <c r="WY51" s="156"/>
      <c r="WZ51" s="153"/>
      <c r="XA51" s="153"/>
      <c r="XB51" s="153"/>
      <c r="XC51" s="153"/>
      <c r="XD51" s="153"/>
      <c r="XE51" s="155"/>
      <c r="XF51" s="153"/>
      <c r="XG51" s="153"/>
      <c r="XH51" s="153"/>
      <c r="XI51" s="153"/>
      <c r="XJ51" s="153"/>
      <c r="XK51" s="156"/>
      <c r="XL51" s="153"/>
      <c r="XM51" s="153"/>
      <c r="XN51" s="153"/>
      <c r="XO51" s="153"/>
      <c r="XP51" s="153"/>
      <c r="XQ51" s="155"/>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153"/>
      <c r="ABG51" s="153"/>
      <c r="ABH51" s="153"/>
      <c r="ABI51" s="155"/>
      <c r="ABJ51" s="153"/>
      <c r="ABK51" s="153"/>
      <c r="ABL51" s="153"/>
      <c r="ABM51" s="153"/>
      <c r="ABN51" s="153"/>
      <c r="ABO51" s="156"/>
      <c r="ABP51" s="153"/>
      <c r="ABQ51" s="153"/>
      <c r="ABR51" s="153"/>
      <c r="ABS51" s="153"/>
      <c r="ABT51" s="153"/>
      <c r="ABU51" s="155"/>
      <c r="ABV51" s="153"/>
      <c r="ABW51" s="153"/>
      <c r="ABX51" s="153"/>
      <c r="ABY51" s="153"/>
      <c r="ABZ51" s="153"/>
      <c r="ACA51" s="156"/>
      <c r="ACB51" s="153"/>
      <c r="ACC51" s="153"/>
      <c r="ACD51" s="153"/>
      <c r="ACE51" s="153"/>
      <c r="ACF51" s="153"/>
      <c r="ACG51" s="155"/>
      <c r="ACH51" s="153"/>
      <c r="ACI51" s="153"/>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49999999999999" customHeight="1" x14ac:dyDescent="0.25">
      <c r="A52" s="78" t="s">
        <v>27</v>
      </c>
      <c r="B52" s="51" t="str">
        <f>IF(LEN(C89)=0,"",C89)</f>
        <v/>
      </c>
      <c r="C52" s="196"/>
      <c r="D52" s="229" t="str">
        <f t="shared" si="0"/>
        <v>7h</v>
      </c>
      <c r="E52" s="22">
        <v>84</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24"/>
      <c r="NW52" s="24"/>
      <c r="NX52" s="24"/>
      <c r="NY52" s="109"/>
      <c r="NZ52" s="24"/>
      <c r="OA52" s="24"/>
      <c r="OB52" s="24"/>
      <c r="OC52" s="24"/>
      <c r="OD52" s="24"/>
      <c r="OE52" s="58"/>
      <c r="OF52" s="24"/>
      <c r="OG52" s="24"/>
      <c r="OH52" s="24"/>
      <c r="OI52" s="24"/>
      <c r="OJ52" s="24"/>
      <c r="OK52" s="109"/>
      <c r="OL52" s="24"/>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09"/>
      <c r="PV52" s="24"/>
      <c r="PW52" s="24"/>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165"/>
      <c r="ABK52" s="165"/>
      <c r="ABL52" s="165"/>
      <c r="ABM52" s="165"/>
      <c r="ABN52" s="165"/>
      <c r="ABO52" s="169"/>
      <c r="ABP52" s="165"/>
      <c r="ABQ52" s="165"/>
      <c r="ABR52" s="165"/>
      <c r="ABS52" s="165"/>
      <c r="ABT52" s="165"/>
      <c r="ABU52" s="167"/>
      <c r="ABV52" s="165"/>
      <c r="ABW52" s="165"/>
      <c r="ABX52" s="165"/>
      <c r="ABY52" s="165"/>
      <c r="ABZ52" s="165"/>
      <c r="ACA52" s="169"/>
      <c r="ACB52" s="165"/>
      <c r="ACC52" s="165"/>
      <c r="ACD52" s="165"/>
      <c r="ACE52" s="165"/>
      <c r="ACF52" s="165"/>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164"/>
      <c r="ADG52" s="165"/>
      <c r="ADH52" s="165"/>
      <c r="ADI52" s="165"/>
      <c r="ADJ52" s="165"/>
      <c r="ADK52" s="166"/>
      <c r="ADL52" s="165"/>
      <c r="ADM52" s="165"/>
      <c r="ADN52" s="165"/>
      <c r="ADO52" s="165"/>
      <c r="ADP52" s="165"/>
      <c r="ADQ52" s="167"/>
      <c r="ADR52" s="165"/>
      <c r="ADS52" s="165"/>
      <c r="ADT52" s="165"/>
      <c r="ADU52" s="165"/>
      <c r="ADV52" s="165"/>
      <c r="ADW52" s="169"/>
      <c r="ADX52" s="24"/>
      <c r="ADY52" s="24"/>
      <c r="ADZ52" s="24"/>
      <c r="AEA52" s="165"/>
      <c r="AEB52" s="165"/>
      <c r="AEC52" s="167"/>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164"/>
      <c r="AFO52" s="165"/>
      <c r="AFP52" s="165"/>
      <c r="AFQ52" s="165"/>
      <c r="AFR52" s="165"/>
      <c r="AFS52" s="166"/>
      <c r="AFT52" s="165"/>
      <c r="AFU52" s="165"/>
      <c r="AFV52" s="165"/>
      <c r="AFW52" s="165"/>
      <c r="AFX52" s="165"/>
      <c r="AFY52" s="167"/>
      <c r="AFZ52" s="165"/>
      <c r="AGA52" s="165"/>
      <c r="AGB52" s="165"/>
      <c r="AGC52" s="165"/>
      <c r="AGD52" s="165"/>
      <c r="AGE52" s="169"/>
      <c r="AGF52" s="165"/>
      <c r="AGG52" s="24"/>
      <c r="AGH52" s="24"/>
      <c r="AGI52" s="165"/>
      <c r="AGJ52" s="165"/>
      <c r="AGK52" s="167"/>
      <c r="AGL52" s="165"/>
      <c r="AGM52" s="165"/>
      <c r="AGN52" s="165"/>
      <c r="AGO52" s="165"/>
      <c r="AGP52" s="165"/>
      <c r="AGQ52" s="169"/>
      <c r="AGR52" s="24"/>
      <c r="AGS52" s="24"/>
      <c r="AGT52" s="24"/>
      <c r="AGU52" s="24"/>
      <c r="AGV52" s="24"/>
      <c r="AGW52" s="109"/>
      <c r="AGX52" s="165"/>
      <c r="AGY52" s="165"/>
      <c r="AGZ52" s="165"/>
      <c r="AHA52" s="165"/>
      <c r="AHB52" s="168"/>
      <c r="AHC52" s="169"/>
      <c r="AHD52" s="165"/>
      <c r="AHE52" s="165"/>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165"/>
      <c r="ALW52" s="165"/>
      <c r="ALX52" s="165"/>
      <c r="ALY52" s="167"/>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49999999999999" customHeight="1" x14ac:dyDescent="0.25">
      <c r="A53" s="78" t="s">
        <v>26</v>
      </c>
      <c r="B53" s="51" t="str">
        <f>IF(LEN(C91)=0,"",C91)</f>
        <v/>
      </c>
      <c r="C53" s="190" t="s">
        <v>31</v>
      </c>
      <c r="D53" s="230" t="str">
        <f t="shared" si="0"/>
        <v>1h 45 min</v>
      </c>
      <c r="E53" s="26">
        <v>21</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157"/>
      <c r="UI53" s="157"/>
      <c r="UJ53" s="157"/>
      <c r="UK53" s="158"/>
      <c r="UL53" s="157"/>
      <c r="UM53" s="157"/>
      <c r="UN53" s="157"/>
      <c r="UO53" s="157"/>
      <c r="UP53" s="157"/>
      <c r="UQ53" s="159"/>
      <c r="UR53" s="157"/>
      <c r="US53" s="157"/>
      <c r="UT53" s="157"/>
      <c r="UU53" s="157"/>
      <c r="UV53" s="157"/>
      <c r="UW53" s="158"/>
      <c r="UX53" s="157"/>
      <c r="UY53" s="157"/>
      <c r="UZ53" s="157"/>
      <c r="VA53" s="157"/>
      <c r="VB53" s="157"/>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49999999999999" customHeight="1" x14ac:dyDescent="0.4">
      <c r="A54" s="78" t="s">
        <v>27</v>
      </c>
      <c r="B54" s="51" t="str">
        <f>IF(LEN(C93)=0,"",C93)</f>
        <v/>
      </c>
      <c r="C54" s="228"/>
      <c r="D54" s="231" t="str">
        <f t="shared" si="0"/>
        <v>1h 30 min</v>
      </c>
      <c r="E54" s="30">
        <v>18</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32"/>
      <c r="RA54" s="32"/>
      <c r="RB54" s="32"/>
      <c r="RC54" s="32"/>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58"/>
      <c r="SV54" s="32"/>
      <c r="SW54" s="32"/>
      <c r="SX54" s="32"/>
      <c r="SY54" s="32"/>
      <c r="SZ54" s="32"/>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32"/>
      <c r="UJ54" s="32"/>
      <c r="UK54" s="111"/>
      <c r="UL54" s="32"/>
      <c r="UM54" s="32"/>
      <c r="UN54" s="32"/>
      <c r="UO54" s="32"/>
      <c r="UP54" s="32"/>
      <c r="UQ54" s="58"/>
      <c r="UR54" s="32"/>
      <c r="US54" s="32"/>
      <c r="UT54" s="32"/>
      <c r="UU54" s="32"/>
      <c r="UV54" s="32"/>
      <c r="UW54" s="111"/>
      <c r="UX54" s="32"/>
      <c r="UY54" s="32"/>
      <c r="UZ54" s="32"/>
      <c r="VA54" s="32"/>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168"/>
      <c r="YW54" s="168"/>
      <c r="YX54" s="168"/>
      <c r="YY54" s="168"/>
      <c r="YZ54" s="168"/>
      <c r="ZA54" s="171"/>
      <c r="ZB54" s="168"/>
      <c r="ZC54" s="168"/>
      <c r="ZD54" s="168"/>
      <c r="ZE54" s="168"/>
      <c r="ZF54" s="168"/>
      <c r="ZG54" s="169"/>
      <c r="ZH54" s="168"/>
      <c r="ZI54" s="168"/>
      <c r="ZJ54" s="168"/>
      <c r="ZK54" s="168"/>
      <c r="ZL54" s="168"/>
      <c r="ZM54" s="17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49999999999999" customHeight="1" x14ac:dyDescent="0.25">
      <c r="A55" s="78" t="s">
        <v>26</v>
      </c>
      <c r="B55" s="51"/>
      <c r="C55" s="190" t="s">
        <v>98</v>
      </c>
      <c r="D55" s="230" t="str">
        <f t="shared" si="0"/>
        <v>5h</v>
      </c>
      <c r="E55" s="34">
        <v>60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153"/>
      <c r="SA55" s="153"/>
      <c r="SB55" s="153"/>
      <c r="SC55" s="155"/>
      <c r="SD55" s="153"/>
      <c r="SE55" s="153"/>
      <c r="SF55" s="153"/>
      <c r="SG55" s="153"/>
      <c r="SH55" s="153"/>
      <c r="SI55" s="156"/>
      <c r="SJ55" s="153"/>
      <c r="SK55" s="153"/>
      <c r="SL55" s="153"/>
      <c r="SM55" s="153"/>
      <c r="SN55" s="153"/>
      <c r="SO55" s="155"/>
      <c r="SP55" s="153"/>
      <c r="SQ55" s="153"/>
      <c r="SR55" s="153"/>
      <c r="SS55" s="153"/>
      <c r="ST55" s="153"/>
      <c r="SU55" s="156"/>
      <c r="SV55" s="153"/>
      <c r="SW55" s="153"/>
      <c r="SX55" s="153"/>
      <c r="SY55" s="153"/>
      <c r="SZ55" s="153"/>
      <c r="TA55" s="155"/>
      <c r="TB55" s="153"/>
      <c r="TC55" s="153"/>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153"/>
      <c r="XS55" s="153"/>
      <c r="XT55" s="153"/>
      <c r="XU55" s="153"/>
      <c r="XV55" s="153"/>
      <c r="XW55" s="156"/>
      <c r="XX55" s="153"/>
      <c r="XY55" s="153"/>
      <c r="XZ55" s="153"/>
      <c r="YA55" s="153"/>
      <c r="YB55" s="153"/>
      <c r="YC55" s="155"/>
      <c r="YD55" s="36"/>
      <c r="YE55" s="36"/>
      <c r="YF55" s="36"/>
      <c r="YG55" s="36"/>
      <c r="YH55" s="36"/>
      <c r="YI55" s="59"/>
      <c r="YJ55" s="36"/>
      <c r="YK55" s="36"/>
      <c r="YL55" s="36"/>
      <c r="YM55" s="36"/>
      <c r="YN55" s="36"/>
      <c r="YO55" s="37"/>
      <c r="YP55" s="152"/>
      <c r="YQ55" s="153"/>
      <c r="YR55" s="153"/>
      <c r="YS55" s="153"/>
      <c r="YT55" s="153"/>
      <c r="YU55" s="154"/>
      <c r="YV55" s="153"/>
      <c r="YW55" s="153"/>
      <c r="YX55" s="153"/>
      <c r="YY55" s="153"/>
      <c r="YZ55" s="153"/>
      <c r="ZA55" s="155"/>
      <c r="ZB55" s="153"/>
      <c r="ZC55" s="153"/>
      <c r="ZD55" s="153"/>
      <c r="ZE55" s="153"/>
      <c r="ZF55" s="153"/>
      <c r="ZG55" s="156"/>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35"/>
      <c r="ADG55" s="36"/>
      <c r="ADH55" s="36"/>
      <c r="ADI55" s="36"/>
      <c r="ADJ55" s="36"/>
      <c r="ADK55" s="107"/>
      <c r="ADL55" s="36"/>
      <c r="ADM55" s="36"/>
      <c r="ADN55" s="36"/>
      <c r="ADO55" s="36"/>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49999999999999" customHeight="1" x14ac:dyDescent="0.25">
      <c r="A56" s="78" t="s">
        <v>27</v>
      </c>
      <c r="B56" s="51"/>
      <c r="C56" s="228"/>
      <c r="D56" s="229" t="str">
        <f t="shared" si="0"/>
        <v>2h 5 min</v>
      </c>
      <c r="E56" s="22">
        <v>25</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23"/>
      <c r="UA56" s="24"/>
      <c r="UB56" s="24"/>
      <c r="UC56" s="24"/>
      <c r="UD56" s="24"/>
      <c r="UE56" s="104"/>
      <c r="UF56" s="24"/>
      <c r="UG56" s="24"/>
      <c r="UH56" s="24"/>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165"/>
      <c r="XJ56" s="165"/>
      <c r="XK56" s="170"/>
      <c r="XL56" s="165"/>
      <c r="XM56" s="165"/>
      <c r="XN56" s="165"/>
      <c r="XO56" s="165"/>
      <c r="XP56" s="165"/>
      <c r="XQ56" s="167"/>
      <c r="XR56" s="165"/>
      <c r="XS56" s="165"/>
      <c r="XT56" s="165"/>
      <c r="XU56" s="165"/>
      <c r="XV56" s="165"/>
      <c r="XW56" s="170"/>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164"/>
      <c r="AAY56" s="165"/>
      <c r="AAZ56" s="165"/>
      <c r="ABA56" s="165"/>
      <c r="ABB56" s="165"/>
      <c r="ABC56" s="166"/>
      <c r="ABD56" s="165"/>
      <c r="ABE56" s="165"/>
      <c r="ABF56" s="165"/>
      <c r="ABG56" s="165"/>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49999999999999" customHeight="1" x14ac:dyDescent="0.25">
      <c r="A57" s="78" t="s">
        <v>26</v>
      </c>
      <c r="B57" s="51"/>
      <c r="C57" s="190" t="s">
        <v>59</v>
      </c>
      <c r="D57" s="230" t="str">
        <f t="shared" si="0"/>
        <v>1h 10 min</v>
      </c>
      <c r="E57" s="26">
        <v>14</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157"/>
      <c r="PQ57" s="157"/>
      <c r="PR57" s="157"/>
      <c r="PS57" s="157"/>
      <c r="PT57" s="157"/>
      <c r="PU57" s="158"/>
      <c r="PV57" s="157"/>
      <c r="PW57" s="157"/>
      <c r="PX57" s="157"/>
      <c r="PY57" s="157"/>
      <c r="PZ57" s="157"/>
      <c r="QA57" s="159"/>
      <c r="QB57" s="157"/>
      <c r="QC57" s="157"/>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49999999999999" customHeight="1" x14ac:dyDescent="0.4">
      <c r="A58" s="78" t="s">
        <v>27</v>
      </c>
      <c r="B58" s="51"/>
      <c r="C58" s="228"/>
      <c r="D58" s="231" t="str">
        <f t="shared" si="0"/>
        <v xml:space="preserve"> 30 min</v>
      </c>
      <c r="E58" s="30">
        <v>6</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172"/>
      <c r="YQ58" s="168"/>
      <c r="YR58" s="168"/>
      <c r="YS58" s="168"/>
      <c r="YT58" s="168"/>
      <c r="YU58" s="173"/>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49999999999999" customHeight="1" x14ac:dyDescent="0.25">
      <c r="A59" s="78" t="s">
        <v>26</v>
      </c>
      <c r="B59" s="51"/>
      <c r="C59" s="190" t="s">
        <v>58</v>
      </c>
      <c r="D59" s="230" t="str">
        <f t="shared" si="0"/>
        <v xml:space="preserve"> 55 min</v>
      </c>
      <c r="E59" s="26">
        <v>11</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153"/>
      <c r="QE59" s="153"/>
      <c r="QF59" s="153"/>
      <c r="QG59" s="155"/>
      <c r="QH59" s="153"/>
      <c r="QI59" s="153"/>
      <c r="QJ59" s="153"/>
      <c r="QK59" s="153"/>
      <c r="QL59" s="153"/>
      <c r="QM59" s="156"/>
      <c r="QN59" s="153"/>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49999999999999" customHeight="1" x14ac:dyDescent="0.4">
      <c r="A60" s="78" t="s">
        <v>27</v>
      </c>
      <c r="B60" s="51"/>
      <c r="C60" s="228"/>
      <c r="D60" s="231" t="str">
        <f t="shared" si="0"/>
        <v xml:space="preserve"> 30 min</v>
      </c>
      <c r="E60" s="30">
        <v>6</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165"/>
      <c r="XY60" s="165"/>
      <c r="XZ60" s="165"/>
      <c r="YA60" s="165"/>
      <c r="YB60" s="165"/>
      <c r="YC60" s="167"/>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49999999999999" customHeight="1" x14ac:dyDescent="0.25">
      <c r="A61" s="78" t="s">
        <v>26</v>
      </c>
      <c r="B61" s="51"/>
      <c r="C61" s="190" t="s">
        <v>63</v>
      </c>
      <c r="D61" s="230" t="str">
        <f t="shared" si="0"/>
        <v>7h 50 min</v>
      </c>
      <c r="E61" s="34">
        <v>94</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160"/>
      <c r="AFO61" s="157"/>
      <c r="AFP61" s="157"/>
      <c r="AFQ61" s="157"/>
      <c r="AFR61" s="157"/>
      <c r="AFS61" s="161"/>
      <c r="AFT61" s="157"/>
      <c r="AFU61" s="157"/>
      <c r="AFV61" s="157"/>
      <c r="AFW61" s="157"/>
      <c r="AFX61" s="157"/>
      <c r="AFY61" s="158"/>
      <c r="AFZ61" s="157"/>
      <c r="AGA61" s="157"/>
      <c r="AGB61" s="157"/>
      <c r="AGC61" s="157"/>
      <c r="AGD61" s="157"/>
      <c r="AGE61" s="159"/>
      <c r="AGF61" s="157"/>
      <c r="AGG61" s="157"/>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160"/>
      <c r="AHW61" s="157"/>
      <c r="AHX61" s="157"/>
      <c r="AHY61" s="157"/>
      <c r="AHZ61" s="157"/>
      <c r="AIA61" s="161"/>
      <c r="AIB61" s="157"/>
      <c r="AIC61" s="157"/>
      <c r="AID61" s="157"/>
      <c r="AIE61" s="157"/>
      <c r="AIF61" s="157"/>
      <c r="AIG61" s="158"/>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160"/>
      <c r="AKE61" s="157"/>
      <c r="AKF61" s="157"/>
      <c r="AKG61" s="157"/>
      <c r="AKH61" s="157"/>
      <c r="AKI61" s="161"/>
      <c r="AKJ61" s="157"/>
      <c r="AKK61" s="157"/>
      <c r="AKL61" s="157"/>
      <c r="AKM61" s="157"/>
      <c r="AKN61" s="157"/>
      <c r="AKO61" s="158"/>
      <c r="AKP61" s="157"/>
      <c r="AKQ61" s="157"/>
      <c r="AKR61" s="157"/>
      <c r="AKS61" s="157"/>
      <c r="AKT61" s="157"/>
      <c r="AKU61" s="159"/>
      <c r="AKV61" s="157"/>
      <c r="AKW61" s="157"/>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157"/>
      <c r="ANK61" s="157"/>
      <c r="ANL61" s="157"/>
      <c r="ANM61" s="157"/>
      <c r="ANN61" s="157"/>
      <c r="ANO61" s="159"/>
      <c r="ANP61" s="157"/>
      <c r="ANQ61" s="157"/>
      <c r="ANR61" s="157"/>
      <c r="ANS61" s="157"/>
      <c r="ANT61" s="157"/>
      <c r="ANU61" s="158"/>
      <c r="ANV61" s="157"/>
      <c r="ANW61" s="157"/>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160"/>
      <c r="AOU61" s="157"/>
      <c r="AOV61" s="157"/>
      <c r="AOW61" s="157"/>
      <c r="AOX61" s="157"/>
      <c r="AOY61" s="161"/>
      <c r="AOZ61" s="157"/>
      <c r="APA61" s="157"/>
      <c r="APB61" s="157"/>
      <c r="APC61" s="157"/>
      <c r="APD61" s="157"/>
      <c r="APE61" s="158"/>
      <c r="APF61" s="157"/>
      <c r="APG61" s="157"/>
      <c r="APH61" s="157"/>
      <c r="API61" s="157"/>
      <c r="APJ61" s="157"/>
      <c r="APK61" s="159"/>
      <c r="APL61" s="157"/>
      <c r="APM61" s="157"/>
      <c r="APN61" s="157"/>
      <c r="APO61" s="157"/>
      <c r="APP61" s="157"/>
      <c r="APQ61" s="158"/>
      <c r="APR61" s="157"/>
      <c r="APS61" s="157"/>
      <c r="APT61" s="157"/>
      <c r="APU61" s="157"/>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49999999999999" customHeight="1" x14ac:dyDescent="0.25">
      <c r="A62" s="78" t="s">
        <v>27</v>
      </c>
      <c r="B62" s="51"/>
      <c r="C62" s="196"/>
      <c r="D62" s="229" t="str">
        <f t="shared" si="0"/>
        <v>7h 50 min</v>
      </c>
      <c r="E62" s="80">
        <v>94</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32"/>
      <c r="NU62" s="32"/>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32"/>
      <c r="VM62" s="32"/>
      <c r="VN62" s="32"/>
      <c r="VO62" s="58"/>
      <c r="VP62" s="32"/>
      <c r="VQ62" s="32"/>
      <c r="VR62" s="32"/>
      <c r="VS62" s="32"/>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169"/>
      <c r="ALH62" s="168"/>
      <c r="ALI62" s="168"/>
      <c r="ALJ62" s="168"/>
      <c r="ALK62" s="168"/>
      <c r="ALL62" s="168"/>
      <c r="ALM62" s="171"/>
      <c r="ALN62" s="168"/>
      <c r="ALO62" s="168"/>
      <c r="ALP62" s="168"/>
      <c r="ALQ62" s="168"/>
      <c r="ALR62" s="168"/>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168"/>
      <c r="AMY62" s="168"/>
      <c r="AMZ62" s="168"/>
      <c r="ANA62" s="168"/>
      <c r="ANB62" s="168"/>
      <c r="ANC62" s="169"/>
      <c r="AND62" s="168"/>
      <c r="ANE62" s="168"/>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168"/>
      <c r="AOY62" s="173"/>
      <c r="AOZ62" s="168"/>
      <c r="APA62" s="168"/>
      <c r="APB62" s="168"/>
      <c r="APC62" s="168"/>
      <c r="APD62" s="168"/>
      <c r="APE62" s="171"/>
      <c r="APF62" s="168"/>
      <c r="APG62" s="168"/>
      <c r="APH62" s="168"/>
      <c r="API62" s="168"/>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168"/>
      <c r="ARQ62" s="168"/>
      <c r="ARR62" s="168"/>
      <c r="ARS62" s="169"/>
      <c r="ART62" s="168"/>
      <c r="ARU62" s="168"/>
      <c r="ARV62" s="168"/>
      <c r="ARW62" s="168"/>
      <c r="ARX62" s="168"/>
      <c r="ARY62" s="171"/>
      <c r="ARZ62" s="168"/>
      <c r="ASA62" s="168"/>
      <c r="ASB62" s="168"/>
      <c r="ASC62" s="168"/>
      <c r="ASD62" s="168"/>
      <c r="ASE62" s="169"/>
      <c r="ASF62" s="168"/>
      <c r="ASG62" s="168"/>
      <c r="ASH62" s="168"/>
      <c r="ASI62" s="168"/>
      <c r="ASJ62" s="168"/>
      <c r="ASK62" s="171"/>
      <c r="ASL62" s="168"/>
      <c r="ASM62" s="168"/>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168"/>
      <c r="AUG62" s="171"/>
      <c r="AUH62" s="168"/>
      <c r="AUI62" s="168"/>
      <c r="AUJ62" s="168"/>
      <c r="AUK62" s="168"/>
      <c r="AUL62" s="168"/>
      <c r="AUM62" s="169"/>
      <c r="AUN62" s="168"/>
      <c r="AUO62" s="168"/>
      <c r="AUP62" s="168"/>
      <c r="AUQ62" s="168"/>
      <c r="AUR62" s="168"/>
      <c r="AUS62" s="171"/>
      <c r="AUT62" s="168"/>
      <c r="AUU62" s="168"/>
      <c r="AUV62" s="168"/>
      <c r="AUW62" s="168"/>
      <c r="AUX62" s="168"/>
      <c r="AUY62" s="169"/>
      <c r="AUZ62" s="168"/>
      <c r="AVA62" s="168"/>
      <c r="AVB62" s="168"/>
      <c r="AVC62" s="168"/>
      <c r="AVD62" s="168"/>
      <c r="AVE62" s="17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168"/>
      <c r="BEA62" s="168"/>
      <c r="BEB62" s="168"/>
      <c r="BEC62" s="168"/>
      <c r="BED62" s="168"/>
      <c r="BEE62" s="169"/>
      <c r="BEF62" s="168"/>
      <c r="BEG62" s="168"/>
      <c r="BEH62" s="168"/>
      <c r="BEI62" s="168"/>
      <c r="BEJ62" s="168"/>
      <c r="BEK62" s="17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49999999999999" customHeight="1" x14ac:dyDescent="0.25">
      <c r="A63" s="78" t="s">
        <v>26</v>
      </c>
      <c r="B63" s="51"/>
      <c r="C63" s="190" t="s">
        <v>62</v>
      </c>
      <c r="D63" s="230" t="str">
        <f t="shared" si="0"/>
        <v>10h 55 min</v>
      </c>
      <c r="E63" s="34">
        <v>131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152"/>
      <c r="ADG63" s="153"/>
      <c r="ADH63" s="153"/>
      <c r="ADI63" s="153"/>
      <c r="ADJ63" s="153"/>
      <c r="ADK63" s="154"/>
      <c r="ADL63" s="153"/>
      <c r="ADM63" s="153"/>
      <c r="ADN63" s="153"/>
      <c r="ADO63" s="153"/>
      <c r="ADP63" s="153"/>
      <c r="ADQ63" s="155"/>
      <c r="ADR63" s="153"/>
      <c r="ADS63" s="153"/>
      <c r="ADT63" s="153"/>
      <c r="ADU63" s="153"/>
      <c r="ADV63" s="153"/>
      <c r="ADW63" s="156"/>
      <c r="ADX63" s="153"/>
      <c r="ADY63" s="153"/>
      <c r="ADZ63" s="153"/>
      <c r="AEA63" s="153"/>
      <c r="AEB63" s="153"/>
      <c r="AEC63" s="155"/>
      <c r="AED63" s="153"/>
      <c r="AEE63" s="153"/>
      <c r="AEF63" s="153"/>
      <c r="AEG63" s="153"/>
      <c r="AEH63" s="153"/>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153"/>
      <c r="AGI63" s="153"/>
      <c r="AGJ63" s="153"/>
      <c r="AGK63" s="155"/>
      <c r="AGL63" s="153"/>
      <c r="AGM63" s="153"/>
      <c r="AGN63" s="153"/>
      <c r="AGO63" s="153"/>
      <c r="AGP63" s="153"/>
      <c r="AGQ63" s="156"/>
      <c r="AGR63" s="153"/>
      <c r="AGS63" s="153"/>
      <c r="AGT63" s="153"/>
      <c r="AGU63" s="153"/>
      <c r="AGV63" s="153"/>
      <c r="AGW63" s="155"/>
      <c r="AGX63" s="153"/>
      <c r="AGY63" s="153"/>
      <c r="AGZ63" s="153"/>
      <c r="AHA63" s="153"/>
      <c r="AHB63" s="153"/>
      <c r="AHC63" s="156"/>
      <c r="AHD63" s="153"/>
      <c r="AHE63" s="153"/>
      <c r="AHF63" s="153"/>
      <c r="AHG63" s="153"/>
      <c r="AHH63" s="153"/>
      <c r="AHI63" s="155"/>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153"/>
      <c r="AII63" s="153"/>
      <c r="AIJ63" s="153"/>
      <c r="AIK63" s="153"/>
      <c r="AIL63" s="153"/>
      <c r="AIM63" s="156"/>
      <c r="AIN63" s="153"/>
      <c r="AIO63" s="153"/>
      <c r="AIP63" s="153"/>
      <c r="AIQ63" s="153"/>
      <c r="AIR63" s="153"/>
      <c r="AIS63" s="155"/>
      <c r="AIT63" s="153"/>
      <c r="AIU63" s="153"/>
      <c r="AIV63" s="153"/>
      <c r="AIW63" s="153"/>
      <c r="AIX63" s="153"/>
      <c r="AIY63" s="156"/>
      <c r="AIZ63" s="153"/>
      <c r="AJA63" s="153"/>
      <c r="AJB63" s="153"/>
      <c r="AJC63" s="153"/>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153"/>
      <c r="AKY63" s="153"/>
      <c r="AKZ63" s="153"/>
      <c r="ALA63" s="155"/>
      <c r="ALB63" s="153"/>
      <c r="ALC63" s="153"/>
      <c r="ALD63" s="153"/>
      <c r="ALE63" s="153"/>
      <c r="ALF63" s="153"/>
      <c r="ALG63" s="156"/>
      <c r="ALH63" s="153"/>
      <c r="ALI63" s="153"/>
      <c r="ALJ63" s="153"/>
      <c r="ALK63" s="153"/>
      <c r="ALL63" s="153"/>
      <c r="ALM63" s="155"/>
      <c r="ALN63" s="153"/>
      <c r="ALO63" s="153"/>
      <c r="ALP63" s="153"/>
      <c r="ALQ63" s="153"/>
      <c r="ALR63" s="153"/>
      <c r="ALS63" s="156"/>
      <c r="ALT63" s="153"/>
      <c r="ALU63" s="153"/>
      <c r="ALV63" s="153"/>
      <c r="ALW63" s="153"/>
      <c r="ALX63" s="153"/>
      <c r="ALY63" s="155"/>
      <c r="ALZ63" s="36"/>
      <c r="AMA63" s="36"/>
      <c r="AMB63" s="36"/>
      <c r="AMC63" s="36"/>
      <c r="AMD63" s="36"/>
      <c r="AME63" s="59"/>
      <c r="AMF63" s="36"/>
      <c r="AMG63" s="36"/>
      <c r="AMH63" s="36"/>
      <c r="AMI63" s="36"/>
      <c r="AMJ63" s="36"/>
      <c r="AMK63" s="37"/>
      <c r="AML63" s="152"/>
      <c r="AMM63" s="153"/>
      <c r="AMN63" s="153"/>
      <c r="AMO63" s="153"/>
      <c r="AMP63" s="153"/>
      <c r="AMQ63" s="154"/>
      <c r="AMR63" s="153"/>
      <c r="AMS63" s="153"/>
      <c r="AMT63" s="153"/>
      <c r="AMU63" s="153"/>
      <c r="AMV63" s="153"/>
      <c r="AMW63" s="155"/>
      <c r="AMX63" s="153"/>
      <c r="AMY63" s="153"/>
      <c r="AMZ63" s="153"/>
      <c r="ANA63" s="153"/>
      <c r="ANB63" s="153"/>
      <c r="ANC63" s="156"/>
      <c r="AND63" s="153"/>
      <c r="ANE63" s="153"/>
      <c r="ANF63" s="153"/>
      <c r="ANG63" s="153"/>
      <c r="ANH63" s="153"/>
      <c r="ANI63" s="155"/>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49999999999999" customHeight="1" x14ac:dyDescent="0.4">
      <c r="A64" s="78" t="s">
        <v>27</v>
      </c>
      <c r="B64" s="51"/>
      <c r="C64" s="196"/>
      <c r="D64" s="231" t="str">
        <f t="shared" si="0"/>
        <v>12h 15 min</v>
      </c>
      <c r="E64" s="22">
        <v>147</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164"/>
      <c r="AKE64" s="165"/>
      <c r="AKF64" s="165"/>
      <c r="AKG64" s="165"/>
      <c r="AKH64" s="165"/>
      <c r="AKI64" s="166"/>
      <c r="AKJ64" s="165"/>
      <c r="AKK64" s="165"/>
      <c r="AKL64" s="165"/>
      <c r="AKM64" s="165"/>
      <c r="AKN64" s="165"/>
      <c r="AKO64" s="167"/>
      <c r="AKP64" s="165"/>
      <c r="AKQ64" s="165"/>
      <c r="AKR64" s="165"/>
      <c r="AKS64" s="165"/>
      <c r="AKT64" s="165"/>
      <c r="AKU64" s="170"/>
      <c r="AKV64" s="165"/>
      <c r="AKW64" s="165"/>
      <c r="AKX64" s="165"/>
      <c r="AKY64" s="165"/>
      <c r="AKZ64" s="165"/>
      <c r="ALA64" s="167"/>
      <c r="ALB64" s="165"/>
      <c r="ALC64" s="165"/>
      <c r="ALD64" s="165"/>
      <c r="ALE64" s="165"/>
      <c r="ALF64" s="165"/>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164"/>
      <c r="AMM64" s="165"/>
      <c r="AMN64" s="165"/>
      <c r="AMO64" s="165"/>
      <c r="AMP64" s="165"/>
      <c r="AMQ64" s="166"/>
      <c r="AMR64" s="165"/>
      <c r="AMS64" s="165"/>
      <c r="AMT64" s="165"/>
      <c r="AMU64" s="165"/>
      <c r="AMV64" s="165"/>
      <c r="AMW64" s="167"/>
      <c r="AMX64" s="24"/>
      <c r="AMY64" s="24"/>
      <c r="AMZ64" s="24"/>
      <c r="ANA64" s="24"/>
      <c r="ANB64" s="24"/>
      <c r="ANC64" s="56"/>
      <c r="AND64" s="24"/>
      <c r="ANE64" s="24"/>
      <c r="ANF64" s="165"/>
      <c r="ANG64" s="165"/>
      <c r="ANH64" s="165"/>
      <c r="ANI64" s="167"/>
      <c r="ANJ64" s="165"/>
      <c r="ANK64" s="165"/>
      <c r="ANL64" s="165"/>
      <c r="ANM64" s="165"/>
      <c r="ANN64" s="165"/>
      <c r="ANO64" s="170"/>
      <c r="ANP64" s="165"/>
      <c r="ANQ64" s="165"/>
      <c r="ANR64" s="165"/>
      <c r="ANS64" s="165"/>
      <c r="ANT64" s="165"/>
      <c r="ANU64" s="167"/>
      <c r="ANV64" s="165"/>
      <c r="ANW64" s="165"/>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164"/>
      <c r="AOU64" s="165"/>
      <c r="AOV64" s="165"/>
      <c r="AOW64" s="165"/>
      <c r="AOX64" s="24"/>
      <c r="AOY64" s="104"/>
      <c r="AOZ64" s="24"/>
      <c r="APA64" s="24"/>
      <c r="APB64" s="24"/>
      <c r="APC64" s="24"/>
      <c r="APD64" s="24"/>
      <c r="APE64" s="109"/>
      <c r="APF64" s="24"/>
      <c r="APG64" s="24"/>
      <c r="APH64" s="24"/>
      <c r="API64" s="24"/>
      <c r="APJ64" s="165"/>
      <c r="APK64" s="170"/>
      <c r="APL64" s="165"/>
      <c r="APM64" s="165"/>
      <c r="APN64" s="165"/>
      <c r="APO64" s="165"/>
      <c r="APP64" s="165"/>
      <c r="APQ64" s="167"/>
      <c r="APR64" s="165"/>
      <c r="APS64" s="165"/>
      <c r="APT64" s="165"/>
      <c r="APU64" s="165"/>
      <c r="APV64" s="165"/>
      <c r="APW64" s="170"/>
      <c r="APX64" s="165"/>
      <c r="APY64" s="165"/>
      <c r="APZ64" s="165"/>
      <c r="AQA64" s="165"/>
      <c r="AQB64" s="165"/>
      <c r="AQC64" s="167"/>
      <c r="AQD64" s="165"/>
      <c r="AQE64" s="165"/>
      <c r="AQF64" s="165"/>
      <c r="AQG64" s="165"/>
      <c r="AQH64" s="165"/>
      <c r="AQI64" s="170"/>
      <c r="AQJ64" s="165"/>
      <c r="AQK64" s="165"/>
      <c r="AQL64" s="165"/>
      <c r="AQM64" s="165"/>
      <c r="AQN64" s="165"/>
      <c r="AQO64" s="167"/>
      <c r="AQP64" s="24"/>
      <c r="AQQ64" s="24"/>
      <c r="AQR64" s="24"/>
      <c r="AQS64" s="24"/>
      <c r="AQT64" s="24"/>
      <c r="AQU64" s="56"/>
      <c r="AQV64" s="24"/>
      <c r="AQW64" s="24"/>
      <c r="AQX64" s="24"/>
      <c r="AQY64" s="24"/>
      <c r="AQZ64" s="24"/>
      <c r="ARA64" s="25"/>
      <c r="ARB64" s="164"/>
      <c r="ARC64" s="165"/>
      <c r="ARD64" s="165"/>
      <c r="ARE64" s="165"/>
      <c r="ARF64" s="165"/>
      <c r="ARG64" s="166"/>
      <c r="ARH64" s="165"/>
      <c r="ARI64" s="165"/>
      <c r="ARJ64" s="165"/>
      <c r="ARK64" s="165"/>
      <c r="ARL64" s="165"/>
      <c r="ARM64" s="167"/>
      <c r="ARN64" s="165"/>
      <c r="ARO64" s="165"/>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164"/>
      <c r="ATK64" s="165"/>
      <c r="ATL64" s="165"/>
      <c r="ATM64" s="165"/>
      <c r="ATN64" s="165"/>
      <c r="ATO64" s="166"/>
      <c r="ATP64" s="165"/>
      <c r="ATQ64" s="165"/>
      <c r="ATR64" s="165"/>
      <c r="ATS64" s="165"/>
      <c r="ATT64" s="165"/>
      <c r="ATU64" s="167"/>
      <c r="ATV64" s="165"/>
      <c r="ATW64" s="165"/>
      <c r="ATX64" s="165"/>
      <c r="ATY64" s="165"/>
      <c r="ATZ64" s="165"/>
      <c r="AUA64" s="170"/>
      <c r="AUB64" s="165"/>
      <c r="AUC64" s="165"/>
      <c r="AUD64" s="165"/>
      <c r="AUE64" s="165"/>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165"/>
      <c r="AZG64" s="165"/>
      <c r="AZH64" s="165"/>
      <c r="AZI64" s="167"/>
      <c r="AZJ64" s="165"/>
      <c r="AZK64" s="165"/>
      <c r="AZL64" s="165"/>
      <c r="AZM64" s="165"/>
      <c r="AZN64" s="165"/>
      <c r="AZO64" s="170"/>
      <c r="AZP64" s="165"/>
      <c r="AZQ64" s="165"/>
      <c r="AZR64" s="165"/>
      <c r="AZS64" s="165"/>
      <c r="AZT64" s="165"/>
      <c r="AZU64" s="167"/>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49999999999999" customHeight="1" x14ac:dyDescent="0.25">
      <c r="A65" s="78" t="s">
        <v>26</v>
      </c>
      <c r="B65" s="51"/>
      <c r="C65" s="190" t="s">
        <v>71</v>
      </c>
      <c r="D65" s="230" t="str">
        <f t="shared" si="0"/>
        <v>5h 55 min</v>
      </c>
      <c r="E65" s="26">
        <v>71</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160"/>
      <c r="RS65" s="157"/>
      <c r="RT65" s="157"/>
      <c r="RU65" s="157"/>
      <c r="RV65" s="157"/>
      <c r="RW65" s="161"/>
      <c r="RX65" s="157"/>
      <c r="RY65" s="157"/>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160"/>
      <c r="UA65" s="157"/>
      <c r="UB65" s="157"/>
      <c r="UC65" s="157"/>
      <c r="UD65" s="157"/>
      <c r="UE65" s="161"/>
      <c r="UF65" s="157"/>
      <c r="UG65" s="157"/>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160"/>
      <c r="AAY65" s="157"/>
      <c r="AAZ65" s="157"/>
      <c r="ABA65" s="157"/>
      <c r="ABB65" s="157"/>
      <c r="ABC65" s="161"/>
      <c r="ABD65" s="157"/>
      <c r="ABE65" s="157"/>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160"/>
      <c r="ARC65" s="157"/>
      <c r="ARD65" s="157"/>
      <c r="ARE65" s="157"/>
      <c r="ARF65" s="157"/>
      <c r="ARG65" s="161"/>
      <c r="ARH65" s="157"/>
      <c r="ARI65" s="157"/>
      <c r="ARJ65" s="157"/>
      <c r="ARK65" s="157"/>
      <c r="ARL65" s="157"/>
      <c r="ARM65" s="158"/>
      <c r="ARN65" s="157"/>
      <c r="ARO65" s="157"/>
      <c r="ARP65" s="157"/>
      <c r="ARQ65" s="157"/>
      <c r="ARR65" s="157"/>
      <c r="ARS65" s="159"/>
      <c r="ART65" s="157"/>
      <c r="ARU65" s="157"/>
      <c r="ARV65" s="157"/>
      <c r="ARW65" s="157"/>
      <c r="ARX65" s="157"/>
      <c r="ARY65" s="158"/>
      <c r="ARZ65" s="157"/>
      <c r="ASA65" s="157"/>
      <c r="ASB65" s="157"/>
      <c r="ASC65" s="157"/>
      <c r="ASD65" s="157"/>
      <c r="ASE65" s="159"/>
      <c r="ASF65" s="157"/>
      <c r="ASG65" s="157"/>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160"/>
      <c r="ATK65" s="157"/>
      <c r="ATL65" s="157"/>
      <c r="ATM65" s="157"/>
      <c r="ATN65" s="157"/>
      <c r="ATO65" s="161"/>
      <c r="ATP65" s="157"/>
      <c r="ATQ65" s="157"/>
      <c r="ATR65" s="157"/>
      <c r="ATS65" s="157"/>
      <c r="ATT65" s="157"/>
      <c r="ATU65" s="158"/>
      <c r="ATV65" s="157"/>
      <c r="ATW65" s="157"/>
      <c r="ATX65" s="157"/>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49999999999999" customHeight="1" x14ac:dyDescent="0.4">
      <c r="A66" s="78" t="s">
        <v>27</v>
      </c>
      <c r="B66" s="51"/>
      <c r="C66" s="228"/>
      <c r="D66" s="231" t="str">
        <f t="shared" si="0"/>
        <v>1h 35 min</v>
      </c>
      <c r="E66" s="30">
        <v>19</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32"/>
      <c r="PY66" s="32"/>
      <c r="PZ66" s="32"/>
      <c r="QA66" s="58"/>
      <c r="QB66" s="32"/>
      <c r="QC66" s="32"/>
      <c r="QD66" s="32"/>
      <c r="QE66" s="32"/>
      <c r="QF66" s="32"/>
      <c r="QG66" s="111"/>
      <c r="QH66" s="32"/>
      <c r="QI66" s="32"/>
      <c r="QJ66" s="32"/>
      <c r="QK66" s="32"/>
      <c r="QL66" s="32"/>
      <c r="QM66" s="58"/>
      <c r="QN66" s="32"/>
      <c r="QO66" s="32"/>
      <c r="QP66" s="32"/>
      <c r="QQ66" s="32"/>
      <c r="QR66" s="32"/>
      <c r="QS66" s="111"/>
      <c r="QT66" s="32"/>
      <c r="QU66" s="32"/>
      <c r="QV66" s="32"/>
      <c r="QW66" s="32"/>
      <c r="QX66" s="32"/>
      <c r="QY66" s="58"/>
      <c r="QZ66" s="32"/>
      <c r="RA66" s="32"/>
      <c r="RB66" s="32"/>
      <c r="RC66" s="32"/>
      <c r="RD66" s="32"/>
      <c r="RE66" s="111"/>
      <c r="RF66" s="32"/>
      <c r="RG66" s="32"/>
      <c r="RH66" s="32"/>
      <c r="RI66" s="32"/>
      <c r="RJ66" s="32"/>
      <c r="RK66" s="58"/>
      <c r="RL66" s="32"/>
      <c r="RM66" s="32"/>
      <c r="RN66" s="32"/>
      <c r="RO66" s="32"/>
      <c r="RP66" s="32"/>
      <c r="RQ66" s="33"/>
      <c r="RR66" s="31"/>
      <c r="RS66" s="32"/>
      <c r="RT66" s="32"/>
      <c r="RU66" s="32"/>
      <c r="RV66" s="32"/>
      <c r="RW66" s="106"/>
      <c r="RX66" s="32"/>
      <c r="RY66" s="32"/>
      <c r="RZ66" s="32"/>
      <c r="SA66" s="32"/>
      <c r="SB66" s="32"/>
      <c r="SC66" s="111"/>
      <c r="SD66" s="32"/>
      <c r="SE66" s="32"/>
      <c r="SF66" s="32"/>
      <c r="SG66" s="32"/>
      <c r="SH66" s="32"/>
      <c r="SI66" s="58"/>
      <c r="SJ66" s="32"/>
      <c r="SK66" s="32"/>
      <c r="SL66" s="32"/>
      <c r="SM66" s="32"/>
      <c r="SN66" s="32"/>
      <c r="SO66" s="111"/>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32"/>
      <c r="VI66" s="111"/>
      <c r="VJ66" s="32"/>
      <c r="VK66" s="32"/>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168"/>
      <c r="AIY66" s="169"/>
      <c r="AIZ66" s="168"/>
      <c r="AJA66" s="168"/>
      <c r="AJB66" s="168"/>
      <c r="AJC66" s="168"/>
      <c r="AJD66" s="168"/>
      <c r="AJE66" s="171"/>
      <c r="AJF66" s="168"/>
      <c r="AJG66" s="168"/>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172"/>
      <c r="BAI66" s="168"/>
      <c r="BAJ66" s="168"/>
      <c r="BAK66" s="168"/>
      <c r="BAL66" s="168"/>
      <c r="BAM66" s="173"/>
      <c r="BAN66" s="168"/>
      <c r="BAO66" s="168"/>
      <c r="BAP66" s="168"/>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49999999999999" customHeight="1" x14ac:dyDescent="0.25">
      <c r="A67" s="78" t="s">
        <v>26</v>
      </c>
      <c r="B67" s="51"/>
      <c r="C67" s="190" t="s">
        <v>61</v>
      </c>
      <c r="D67" s="230" t="str">
        <f t="shared" si="0"/>
        <v>2h 50 min</v>
      </c>
      <c r="E67" s="34">
        <v>34</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153"/>
      <c r="ZI67" s="153"/>
      <c r="ZJ67" s="153"/>
      <c r="ZK67" s="153"/>
      <c r="ZL67" s="153"/>
      <c r="ZM67" s="155"/>
      <c r="ZN67" s="153"/>
      <c r="ZO67" s="153"/>
      <c r="ZP67" s="153"/>
      <c r="ZQ67" s="153"/>
      <c r="ZR67" s="153"/>
      <c r="ZS67" s="156"/>
      <c r="ZT67" s="153"/>
      <c r="ZU67" s="153"/>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153"/>
      <c r="APW67" s="156"/>
      <c r="APX67" s="153"/>
      <c r="APY67" s="153"/>
      <c r="APZ67" s="153"/>
      <c r="AQA67" s="153"/>
      <c r="AQB67" s="153"/>
      <c r="AQC67" s="155"/>
      <c r="AQD67" s="153"/>
      <c r="AQE67" s="153"/>
      <c r="AQF67" s="153"/>
      <c r="AQG67" s="153"/>
      <c r="AQH67" s="153"/>
      <c r="AQI67" s="156"/>
      <c r="AQJ67" s="153"/>
      <c r="AQK67" s="153"/>
      <c r="AQL67" s="153"/>
      <c r="AQM67" s="153"/>
      <c r="AQN67" s="153"/>
      <c r="AQO67" s="155"/>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49999999999999" customHeight="1" x14ac:dyDescent="0.25">
      <c r="A68" s="78" t="s">
        <v>27</v>
      </c>
      <c r="B68" s="51"/>
      <c r="C68" s="228"/>
      <c r="D68" s="229"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49999999999999" customHeight="1" x14ac:dyDescent="0.25">
      <c r="A69" s="78" t="s">
        <v>26</v>
      </c>
      <c r="B69" s="51"/>
      <c r="C69" s="190" t="s">
        <v>67</v>
      </c>
      <c r="D69" s="230" t="str">
        <f t="shared" si="0"/>
        <v>2h 15 min</v>
      </c>
      <c r="E69" s="26">
        <v>27</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157"/>
      <c r="AUF69" s="157"/>
      <c r="AUG69" s="158"/>
      <c r="AUH69" s="157"/>
      <c r="AUI69" s="157"/>
      <c r="AUJ69" s="157"/>
      <c r="AUK69" s="157"/>
      <c r="AUL69" s="157"/>
      <c r="AUM69" s="159"/>
      <c r="AUN69" s="157"/>
      <c r="AUO69" s="157"/>
      <c r="AUP69" s="157"/>
      <c r="AUQ69" s="157"/>
      <c r="AUR69" s="157"/>
      <c r="AUS69" s="158"/>
      <c r="AUT69" s="157"/>
      <c r="AUU69" s="157"/>
      <c r="AUV69" s="157"/>
      <c r="AUW69" s="157"/>
      <c r="AUX69" s="157"/>
      <c r="AUY69" s="159"/>
      <c r="AUZ69" s="157"/>
      <c r="AVA69" s="157"/>
      <c r="AVB69" s="157"/>
      <c r="AVC69" s="157"/>
      <c r="AVD69" s="157"/>
      <c r="AVE69" s="158"/>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2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49999999999999" customHeight="1" x14ac:dyDescent="0.4">
      <c r="A70" s="78" t="s">
        <v>27</v>
      </c>
      <c r="B70" s="51"/>
      <c r="C70" s="228"/>
      <c r="D70" s="231" t="str">
        <f t="shared" si="0"/>
        <v>2h 40 min</v>
      </c>
      <c r="E70" s="30">
        <v>32</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168"/>
      <c r="ABI70" s="17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71"/>
      <c r="ACH70" s="168"/>
      <c r="ACI70" s="168"/>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168"/>
      <c r="ADY70" s="168"/>
      <c r="ADZ70" s="168"/>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168"/>
      <c r="AGH70" s="168"/>
      <c r="AGI70" s="32"/>
      <c r="AGJ70" s="32"/>
      <c r="AGK70" s="111"/>
      <c r="AGL70" s="32"/>
      <c r="AGM70" s="32"/>
      <c r="AGN70" s="32"/>
      <c r="AGO70" s="32"/>
      <c r="AGP70" s="32"/>
      <c r="AGQ70" s="58"/>
      <c r="AGR70" s="168"/>
      <c r="AGS70" s="168"/>
      <c r="AGT70" s="168"/>
      <c r="AGU70" s="168"/>
      <c r="AGV70" s="168"/>
      <c r="AGW70" s="17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172"/>
      <c r="AHW70" s="168"/>
      <c r="AHX70" s="168"/>
      <c r="AHY70" s="168"/>
      <c r="AHZ70" s="168"/>
      <c r="AIA70" s="173"/>
      <c r="AIB70" s="168"/>
      <c r="AIC70" s="168"/>
      <c r="AID70" s="168"/>
      <c r="AIE70" s="168"/>
      <c r="AIF70" s="168"/>
      <c r="AIG70" s="171"/>
      <c r="AIH70" s="168"/>
      <c r="AII70" s="168"/>
      <c r="AIJ70" s="168"/>
      <c r="AIK70" s="168"/>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49999999999999" customHeight="1" x14ac:dyDescent="0.25">
      <c r="A71" s="78" t="s">
        <v>26</v>
      </c>
      <c r="B71" s="51"/>
      <c r="C71" s="190" t="s">
        <v>65</v>
      </c>
      <c r="D71" s="230" t="str">
        <f t="shared" si="0"/>
        <v>3h 35 min</v>
      </c>
      <c r="E71" s="34">
        <v>43</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152"/>
      <c r="AYA71" s="153"/>
      <c r="AYB71" s="153"/>
      <c r="AYC71" s="153"/>
      <c r="AYD71" s="153"/>
      <c r="AYE71" s="154"/>
      <c r="AYF71" s="153"/>
      <c r="AYG71" s="153"/>
      <c r="AYH71" s="153"/>
      <c r="AYI71" s="153"/>
      <c r="AYJ71" s="153"/>
      <c r="AYK71" s="155"/>
      <c r="AYL71" s="153"/>
      <c r="AYM71" s="153"/>
      <c r="AYN71" s="153"/>
      <c r="AYO71" s="153"/>
      <c r="AYP71" s="153"/>
      <c r="AYQ71" s="156"/>
      <c r="AYR71" s="153"/>
      <c r="AYS71" s="153"/>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153"/>
      <c r="BDP71" s="153"/>
      <c r="BDQ71" s="153"/>
      <c r="BDR71" s="153"/>
      <c r="BDS71" s="156"/>
      <c r="BDT71" s="153"/>
      <c r="BDU71" s="153"/>
      <c r="BDV71" s="153"/>
      <c r="BDW71" s="153"/>
      <c r="BDX71" s="153"/>
      <c r="BDY71" s="155"/>
      <c r="BDZ71" s="153"/>
      <c r="BEA71" s="153"/>
      <c r="BEB71" s="153"/>
      <c r="BEC71" s="153"/>
      <c r="BED71" s="153"/>
      <c r="BEE71" s="156"/>
      <c r="BEF71" s="153"/>
      <c r="BEG71" s="153"/>
      <c r="BEH71" s="153"/>
      <c r="BEI71" s="153"/>
      <c r="BEJ71" s="153"/>
      <c r="BEK71" s="155"/>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49999999999999" customHeight="1" x14ac:dyDescent="0.25">
      <c r="A72" s="78" t="s">
        <v>27</v>
      </c>
      <c r="B72" s="51"/>
      <c r="C72" s="196"/>
      <c r="D72" s="229" t="str">
        <f t="shared" si="0"/>
        <v xml:space="preserve"> 40 min</v>
      </c>
      <c r="E72" s="22">
        <v>8</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24"/>
      <c r="VC72" s="56"/>
      <c r="VD72" s="24"/>
      <c r="VE72" s="24"/>
      <c r="VF72" s="24"/>
      <c r="VG72" s="24"/>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164"/>
      <c r="AYA72" s="165"/>
      <c r="AYB72" s="165"/>
      <c r="AYC72" s="165"/>
      <c r="AYD72" s="165"/>
      <c r="AYE72" s="166"/>
      <c r="AYF72" s="165"/>
      <c r="AYG72" s="165"/>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49999999999999" customHeight="1" x14ac:dyDescent="0.25">
      <c r="A73" s="78" t="s">
        <v>26</v>
      </c>
      <c r="B73" s="51"/>
      <c r="C73" s="190" t="s">
        <v>68</v>
      </c>
      <c r="D73" s="230" t="str">
        <f t="shared" si="0"/>
        <v>1h 5 min</v>
      </c>
      <c r="E73" s="26">
        <v>13</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157"/>
      <c r="AWN73" s="157"/>
      <c r="AWO73" s="158"/>
      <c r="AWP73" s="157"/>
      <c r="AWQ73" s="157"/>
      <c r="AWR73" s="157"/>
      <c r="AWS73" s="157"/>
      <c r="AWT73" s="157"/>
      <c r="AWU73" s="159"/>
      <c r="AWV73" s="157"/>
      <c r="AWW73" s="157"/>
      <c r="AWX73" s="157"/>
      <c r="AWY73" s="157"/>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49999999999999" customHeight="1" x14ac:dyDescent="0.4">
      <c r="A74" s="78" t="s">
        <v>27</v>
      </c>
      <c r="B74" s="51"/>
      <c r="C74" s="228"/>
      <c r="D74" s="23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49999999999999" customHeight="1" x14ac:dyDescent="0.25">
      <c r="A75" s="78" t="s">
        <v>26</v>
      </c>
      <c r="B75" s="51"/>
      <c r="C75" s="190" t="s">
        <v>72</v>
      </c>
      <c r="D75" s="230" t="str">
        <f t="shared" si="0"/>
        <v>2h 55 min</v>
      </c>
      <c r="E75" s="26">
        <v>35</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157"/>
      <c r="AVY75" s="157"/>
      <c r="AVZ75" s="157"/>
      <c r="AWA75" s="157"/>
      <c r="AWB75" s="157"/>
      <c r="AWC75" s="158"/>
      <c r="AWD75" s="157"/>
      <c r="AWE75" s="157"/>
      <c r="AWF75" s="157"/>
      <c r="AWG75" s="157"/>
      <c r="AWH75" s="157"/>
      <c r="AWI75" s="159"/>
      <c r="AWJ75" s="157"/>
      <c r="AWK75" s="157"/>
      <c r="AWL75" s="157"/>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157"/>
      <c r="AZC75" s="159"/>
      <c r="AZD75" s="157"/>
      <c r="AZE75" s="157"/>
      <c r="AZF75" s="157"/>
      <c r="AZG75" s="157"/>
      <c r="AZH75" s="157"/>
      <c r="AZI75" s="158"/>
      <c r="AZJ75" s="157"/>
      <c r="AZK75" s="157"/>
      <c r="AZL75" s="157"/>
      <c r="AZM75" s="157"/>
      <c r="AZN75" s="157"/>
      <c r="AZO75" s="159"/>
      <c r="AZP75" s="157"/>
      <c r="AZQ75" s="157"/>
      <c r="AZR75" s="157"/>
      <c r="AZS75" s="157"/>
      <c r="AZT75" s="157"/>
      <c r="AZU75" s="158"/>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49999999999999" customHeight="1" x14ac:dyDescent="0.4">
      <c r="A76" s="78" t="s">
        <v>27</v>
      </c>
      <c r="B76" s="51"/>
      <c r="C76" s="196"/>
      <c r="D76" s="231" t="str">
        <f t="shared" si="0"/>
        <v>2h</v>
      </c>
      <c r="E76" s="30">
        <v>24</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168"/>
      <c r="AYI76" s="168"/>
      <c r="AYJ76" s="168"/>
      <c r="AYK76" s="171"/>
      <c r="AYL76" s="168"/>
      <c r="AYM76" s="168"/>
      <c r="AYN76" s="168"/>
      <c r="AYO76" s="168"/>
      <c r="AYP76" s="168"/>
      <c r="AYQ76" s="169"/>
      <c r="AYR76" s="168"/>
      <c r="AYS76" s="168"/>
      <c r="AYT76" s="168"/>
      <c r="AYU76" s="168"/>
      <c r="AYV76" s="168"/>
      <c r="AYW76" s="171"/>
      <c r="AYX76" s="168"/>
      <c r="AYY76" s="168"/>
      <c r="AYZ76" s="168"/>
      <c r="AZA76" s="168"/>
      <c r="AZB76" s="168"/>
      <c r="AZC76" s="169"/>
      <c r="AZD76" s="168"/>
      <c r="AZE76" s="168"/>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49999999999999" customHeight="1" x14ac:dyDescent="0.25">
      <c r="A77" s="78" t="s">
        <v>26</v>
      </c>
      <c r="B77" s="51"/>
      <c r="C77" s="190"/>
      <c r="D77" s="119"/>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49999999999999" customHeight="1" x14ac:dyDescent="0.25">
      <c r="A78" s="78" t="s">
        <v>27</v>
      </c>
      <c r="B78" s="51"/>
      <c r="C78" s="196"/>
      <c r="D78" s="120"/>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49999999999999" customHeight="1" x14ac:dyDescent="0.25">
      <c r="A79" s="78" t="s">
        <v>26</v>
      </c>
      <c r="B79" s="51"/>
      <c r="C79" s="190"/>
      <c r="D79" s="119"/>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49999999999999" customHeight="1" x14ac:dyDescent="0.35">
      <c r="A80" s="78" t="s">
        <v>27</v>
      </c>
      <c r="B80" s="51"/>
      <c r="C80" s="191"/>
      <c r="D80" s="121"/>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49999999999999" customHeight="1" x14ac:dyDescent="0.25">
      <c r="A81" s="78" t="s">
        <v>26</v>
      </c>
      <c r="B81" s="51"/>
      <c r="C81" s="190"/>
      <c r="D81" s="119"/>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49999999999999" customHeight="1" x14ac:dyDescent="0.25">
      <c r="A82" s="78" t="s">
        <v>27</v>
      </c>
      <c r="B82" s="51"/>
      <c r="C82" s="191"/>
      <c r="D82" s="119"/>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49999999999999" customHeight="1" x14ac:dyDescent="0.25">
      <c r="A83" s="78" t="s">
        <v>26</v>
      </c>
      <c r="B83" s="51"/>
      <c r="C83" s="190"/>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49999999999999" customHeight="1" x14ac:dyDescent="0.25">
      <c r="A84" s="78" t="s">
        <v>27</v>
      </c>
      <c r="B84" s="51"/>
      <c r="C84" s="196"/>
      <c r="D84" s="120"/>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49999999999999" customHeight="1" x14ac:dyDescent="0.25">
      <c r="A85" s="78" t="s">
        <v>26</v>
      </c>
      <c r="B85" s="51"/>
      <c r="C85" s="190"/>
      <c r="D85" s="119"/>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49999999999999" customHeight="1" x14ac:dyDescent="0.35">
      <c r="A86" s="78" t="s">
        <v>27</v>
      </c>
      <c r="B86" s="51"/>
      <c r="C86" s="191"/>
      <c r="D86" s="121"/>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49999999999999" customHeight="1" x14ac:dyDescent="0.25">
      <c r="A87" s="78" t="s">
        <v>26</v>
      </c>
      <c r="B87" s="51"/>
      <c r="C87" s="190"/>
      <c r="D87" s="119"/>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49999999999999" customHeight="1" x14ac:dyDescent="0.25">
      <c r="A88" s="78" t="s">
        <v>27</v>
      </c>
      <c r="B88" s="51"/>
      <c r="C88" s="196"/>
      <c r="D88" s="120"/>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49999999999999" customHeight="1" x14ac:dyDescent="0.25">
      <c r="A89" s="78" t="s">
        <v>26</v>
      </c>
      <c r="B89" s="51"/>
      <c r="C89" s="190"/>
      <c r="D89" s="119"/>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49999999999999" customHeight="1" x14ac:dyDescent="0.35">
      <c r="A90" s="78" t="s">
        <v>27</v>
      </c>
      <c r="B90" s="51"/>
      <c r="C90" s="191"/>
      <c r="D90" s="121"/>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49999999999999" customHeight="1" x14ac:dyDescent="0.25">
      <c r="A91" s="78" t="s">
        <v>26</v>
      </c>
      <c r="B91" s="51"/>
      <c r="C91" s="190"/>
      <c r="D91" s="119"/>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49999999999999" customHeight="1" x14ac:dyDescent="0.35">
      <c r="A92" s="78" t="s">
        <v>27</v>
      </c>
      <c r="B92" s="51"/>
      <c r="C92" s="191"/>
      <c r="D92" s="121"/>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49999999999999" customHeight="1" x14ac:dyDescent="0.25">
      <c r="A93" s="78" t="s">
        <v>26</v>
      </c>
      <c r="B93" s="51"/>
      <c r="C93" s="190"/>
      <c r="D93" s="119"/>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49999999999999" customHeight="1" x14ac:dyDescent="0.25">
      <c r="A94" s="78" t="s">
        <v>27</v>
      </c>
      <c r="B94" s="51"/>
      <c r="C94" s="196"/>
      <c r="D94" s="120"/>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49999999999999" customHeight="1" x14ac:dyDescent="0.25">
      <c r="B95" s="51"/>
      <c r="C95" s="192" t="s">
        <v>32</v>
      </c>
      <c r="D95" s="193"/>
      <c r="E95" s="92">
        <f>SUM(E15,E17,E19,E21,E23,E25,E27,E29,E31,E33,E35,E37,E39,E41,E43,E45,E47,E49,E51,E53,E55,E57,E59,E61,E63,E65,E67,E69,E71,E73,E75,E77,E79,E81,E83,E85,E87,E89,E91,E93)</f>
        <v>1073</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49999999999999" customHeight="1" thickBot="1" x14ac:dyDescent="0.3">
      <c r="B96" s="51"/>
      <c r="C96" s="194"/>
      <c r="D96" s="195"/>
      <c r="E96" s="98" t="str">
        <f xml:space="preserve"> setValueToTime(E95)</f>
        <v>89h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49999999999999" customHeight="1" x14ac:dyDescent="0.25">
      <c r="B97" s="51"/>
      <c r="C97" s="186" t="s">
        <v>33</v>
      </c>
      <c r="D97" s="187"/>
      <c r="E97" s="93">
        <f>SUM(E16,E18,E20,E22,E24,E26,E28,E30,E32,E34,E36,E38,E40,E42,E44,E46,E48,E50,E52,E54,E56,E58,E60,E62,E64,E66,E68,E70,E72,E74,E76,E78,E80,E82,E84,E86,E88,E90,E92,E94)</f>
        <v>1068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49999999999999" customHeight="1" thickBot="1" x14ac:dyDescent="0.3">
      <c r="B98" s="51"/>
      <c r="C98" s="188"/>
      <c r="D98" s="189"/>
      <c r="E98" s="97" t="str">
        <f xml:space="preserve"> setValueToTime(E97)</f>
        <v>89h</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49999999999999" customHeight="1" thickBot="1" x14ac:dyDescent="0.3">
      <c r="B99" s="143"/>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ER14:EU14"/>
    <mergeCell ref="EF14:EI14"/>
    <mergeCell ref="FV14:FY14"/>
    <mergeCell ref="FJ14:FM14"/>
    <mergeCell ref="EX14:FA14"/>
    <mergeCell ref="EL14:EO14"/>
    <mergeCell ref="DZ14:EC14"/>
    <mergeCell ref="DV13:GC13"/>
    <mergeCell ref="DV12:GC12"/>
    <mergeCell ref="F12:BM12"/>
    <mergeCell ref="BN12:DU12"/>
    <mergeCell ref="FP14:FS1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11:E12"/>
    <mergeCell ref="C15:C16"/>
    <mergeCell ref="C21:C22"/>
    <mergeCell ref="DV11:GC11"/>
    <mergeCell ref="FD14:FG14"/>
    <mergeCell ref="C19:C20"/>
    <mergeCell ref="C29:C30"/>
    <mergeCell ref="E13:E14"/>
    <mergeCell ref="C13:C14"/>
    <mergeCell ref="C27:C28"/>
    <mergeCell ref="C25:C26"/>
    <mergeCell ref="C23:C24"/>
    <mergeCell ref="C91:C92"/>
    <mergeCell ref="C49:C50"/>
    <mergeCell ref="C47:C48"/>
    <mergeCell ref="C63:C64"/>
    <mergeCell ref="C51:C52"/>
    <mergeCell ref="C39:C40"/>
    <mergeCell ref="C43:C44"/>
    <mergeCell ref="C31:C32"/>
    <mergeCell ref="C79:C80"/>
    <mergeCell ref="C77:C78"/>
    <mergeCell ref="C75:C76"/>
    <mergeCell ref="C73:C74"/>
    <mergeCell ref="C71:C72"/>
    <mergeCell ref="C69:C70"/>
    <mergeCell ref="C67:C68"/>
    <mergeCell ref="C65:C66"/>
    <mergeCell ref="DB14:DE14"/>
    <mergeCell ref="AN14:AQ14"/>
    <mergeCell ref="AT14:AW14"/>
    <mergeCell ref="AZ14:BC14"/>
    <mergeCell ref="BF14:BI14"/>
    <mergeCell ref="BR14:BU14"/>
    <mergeCell ref="BX14:CA14"/>
    <mergeCell ref="CD14:CG14"/>
    <mergeCell ref="CJ14:CM14"/>
    <mergeCell ref="DV10:GC10"/>
    <mergeCell ref="G9:U9"/>
    <mergeCell ref="W9:AG9"/>
    <mergeCell ref="AH9:AW9"/>
    <mergeCell ref="C1:E1"/>
    <mergeCell ref="C7:E7"/>
    <mergeCell ref="C97:D98"/>
    <mergeCell ref="CP14:CS14"/>
    <mergeCell ref="CV14:CY14"/>
    <mergeCell ref="C17:C18"/>
    <mergeCell ref="V14:Y14"/>
    <mergeCell ref="AB14:AE14"/>
    <mergeCell ref="AH14:AK14"/>
    <mergeCell ref="J14:M14"/>
    <mergeCell ref="P14:S14"/>
    <mergeCell ref="C95:D96"/>
    <mergeCell ref="C89:C90"/>
    <mergeCell ref="C37:C38"/>
    <mergeCell ref="C45:C46"/>
    <mergeCell ref="C93:C94"/>
    <mergeCell ref="CR10:DU10"/>
    <mergeCell ref="BN10:CP10"/>
    <mergeCell ref="DN14:DQ14"/>
    <mergeCell ref="C41:C4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2"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59871</xdr:colOff>
                <xdr:row>10</xdr:row>
                <xdr:rowOff>103414</xdr:rowOff>
              </from>
              <to>
                <xdr:col>2</xdr:col>
                <xdr:colOff>2068286</xdr:colOff>
                <xdr:row>11</xdr:row>
                <xdr:rowOff>478971</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10886</xdr:colOff>
                <xdr:row>0</xdr:row>
                <xdr:rowOff>152400</xdr:rowOff>
              </from>
              <to>
                <xdr:col>48</xdr:col>
                <xdr:colOff>16329</xdr:colOff>
                <xdr:row>1</xdr:row>
                <xdr:rowOff>141514</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85" zoomScaleNormal="85" zoomScaleSheetLayoutView="98" workbookViewId="0">
      <pane ySplit="1" topLeftCell="A2" activePane="bottomLeft" state="frozen"/>
      <selection activeCell="BC13" sqref="BC13"/>
      <selection pane="bottomLeft" activeCell="I95" sqref="I95"/>
    </sheetView>
  </sheetViews>
  <sheetFormatPr baseColWidth="10" defaultColWidth="11.3828125" defaultRowHeight="11.15" x14ac:dyDescent="0.25"/>
  <cols>
    <col min="1" max="1" width="2.3828125" style="146" customWidth="1"/>
    <col min="2" max="2" width="29.84375" style="49" customWidth="1"/>
    <col min="3" max="3" width="9.84375" style="49" customWidth="1"/>
    <col min="4" max="4" width="10.84375" style="49" customWidth="1"/>
    <col min="5" max="5" width="87.3046875" style="100" customWidth="1"/>
    <col min="6" max="6" width="32.3046875" style="50" customWidth="1"/>
    <col min="7" max="7" width="25.53515625" style="50" customWidth="1"/>
    <col min="8" max="8" width="2.53515625" style="100" customWidth="1"/>
    <col min="9" max="16384" width="11.3828125" style="50"/>
  </cols>
  <sheetData>
    <row r="1" spans="1:8" s="149" customFormat="1" ht="51" customHeight="1" thickBot="1" x14ac:dyDescent="0.3">
      <c r="A1" s="147"/>
      <c r="B1" s="147"/>
      <c r="C1" s="147"/>
      <c r="D1" s="148"/>
    </row>
    <row r="2" spans="1:8" s="39" customFormat="1" ht="30" customHeight="1" thickBot="1" x14ac:dyDescent="0.3">
      <c r="B2" s="64" t="s">
        <v>34</v>
      </c>
      <c r="C2" s="135">
        <v>27</v>
      </c>
      <c r="D2" s="135"/>
      <c r="E2" s="65" t="s">
        <v>35</v>
      </c>
      <c r="F2" s="77">
        <v>46174</v>
      </c>
      <c r="G2" s="101" t="s">
        <v>47</v>
      </c>
      <c r="H2" s="150"/>
    </row>
    <row r="3" spans="1:8" s="39" customFormat="1" ht="30" customHeight="1" thickBot="1" x14ac:dyDescent="0.3">
      <c r="B3" s="63" t="s">
        <v>36</v>
      </c>
      <c r="C3" s="122" t="s">
        <v>37</v>
      </c>
      <c r="D3" s="123"/>
      <c r="E3" s="63" t="s">
        <v>38</v>
      </c>
      <c r="F3" s="218" t="s">
        <v>39</v>
      </c>
      <c r="G3" s="219"/>
      <c r="H3" s="150"/>
    </row>
    <row r="4" spans="1:8" s="43" customFormat="1" ht="12" x14ac:dyDescent="0.25">
      <c r="B4" s="40" t="s">
        <v>29</v>
      </c>
      <c r="C4" s="41">
        <v>6</v>
      </c>
      <c r="D4" s="124" t="str">
        <f xml:space="preserve"> IF(C4="","",setValueToTime(C4))</f>
        <v xml:space="preserve"> 30 min</v>
      </c>
      <c r="E4" t="s">
        <v>264</v>
      </c>
      <c r="F4" s="220"/>
      <c r="G4" s="221"/>
      <c r="H4" s="151"/>
    </row>
    <row r="5" spans="1:8" s="43" customFormat="1" ht="12" x14ac:dyDescent="0.25">
      <c r="B5" s="44" t="s">
        <v>49</v>
      </c>
      <c r="C5" s="45">
        <v>3</v>
      </c>
      <c r="D5" s="125" t="str">
        <f t="shared" ref="D5:D11" si="0" xml:space="preserve"> IF(C5="","",setValueToTime(C5))</f>
        <v xml:space="preserve"> 15 min</v>
      </c>
      <c r="E5" s="46" t="s">
        <v>270</v>
      </c>
      <c r="F5" s="212"/>
      <c r="G5" s="213"/>
      <c r="H5" s="151"/>
    </row>
    <row r="6" spans="1:8" s="43" customFormat="1" ht="12" x14ac:dyDescent="0.25">
      <c r="B6" s="44" t="s">
        <v>30</v>
      </c>
      <c r="C6" s="45">
        <v>10</v>
      </c>
      <c r="D6" s="125" t="str">
        <f t="shared" si="0"/>
        <v xml:space="preserve"> 50 min</v>
      </c>
      <c r="E6" t="s">
        <v>271</v>
      </c>
      <c r="F6" s="212"/>
      <c r="G6" s="213"/>
      <c r="H6" s="151"/>
    </row>
    <row r="7" spans="1:8" s="43" customFormat="1" ht="12" x14ac:dyDescent="0.25">
      <c r="B7" s="44"/>
      <c r="C7" s="45"/>
      <c r="D7" s="125" t="str">
        <f t="shared" si="0"/>
        <v/>
      </c>
      <c r="E7" s="46"/>
      <c r="F7" s="212"/>
      <c r="G7" s="213"/>
      <c r="H7" s="151"/>
    </row>
    <row r="8" spans="1:8" s="43" customFormat="1" ht="12" x14ac:dyDescent="0.25">
      <c r="B8" s="44"/>
      <c r="C8" s="45"/>
      <c r="D8" s="126" t="str">
        <f t="shared" si="0"/>
        <v/>
      </c>
      <c r="E8" s="46"/>
      <c r="F8" s="212"/>
      <c r="G8" s="213"/>
      <c r="H8" s="151"/>
    </row>
    <row r="9" spans="1:8" s="43" customFormat="1" ht="12" x14ac:dyDescent="0.25">
      <c r="B9" s="44"/>
      <c r="C9" s="45"/>
      <c r="D9" s="126" t="str">
        <f t="shared" si="0"/>
        <v/>
      </c>
      <c r="E9" s="46"/>
      <c r="F9" s="212"/>
      <c r="G9" s="213"/>
      <c r="H9" s="151"/>
    </row>
    <row r="10" spans="1:8" s="43" customFormat="1" ht="12" x14ac:dyDescent="0.25">
      <c r="B10" s="44"/>
      <c r="C10" s="45"/>
      <c r="D10" s="126" t="str">
        <f t="shared" si="0"/>
        <v/>
      </c>
      <c r="E10" s="46"/>
      <c r="F10" s="212"/>
      <c r="G10" s="213"/>
      <c r="H10" s="151"/>
    </row>
    <row r="11" spans="1:8" s="43" customFormat="1" ht="12.45" thickBot="1" x14ac:dyDescent="0.3">
      <c r="B11" s="44"/>
      <c r="C11" s="47"/>
      <c r="D11" s="127" t="str">
        <f t="shared" si="0"/>
        <v/>
      </c>
      <c r="E11" s="48"/>
      <c r="F11" s="214"/>
      <c r="G11" s="215"/>
      <c r="H11" s="151"/>
    </row>
    <row r="12" spans="1:8" s="43" customFormat="1" ht="12.9" thickBot="1" x14ac:dyDescent="0.3">
      <c r="B12" s="86" t="s">
        <v>41</v>
      </c>
      <c r="C12" s="67">
        <f>SUM(C4:C11)</f>
        <v>19</v>
      </c>
      <c r="D12" s="86" t="str">
        <f xml:space="preserve"> setValueToTime(C12)</f>
        <v>1h 35 min</v>
      </c>
      <c r="E12" s="95"/>
      <c r="F12" s="216"/>
      <c r="G12" s="217"/>
      <c r="H12" s="151"/>
    </row>
    <row r="13" spans="1:8" s="43" customFormat="1" ht="11.6" thickBot="1" x14ac:dyDescent="0.3">
      <c r="B13" s="62"/>
      <c r="C13" s="62"/>
      <c r="D13" s="62"/>
      <c r="E13" s="62"/>
      <c r="F13" s="62"/>
      <c r="G13" s="62"/>
      <c r="H13" s="151"/>
    </row>
    <row r="14" spans="1:8" s="39" customFormat="1" ht="30" customHeight="1" thickBot="1" x14ac:dyDescent="0.3">
      <c r="B14" s="64" t="s">
        <v>34</v>
      </c>
      <c r="C14" s="135">
        <v>26</v>
      </c>
      <c r="D14" s="135"/>
      <c r="E14" s="65" t="s">
        <v>35</v>
      </c>
      <c r="F14" s="77">
        <v>46171</v>
      </c>
      <c r="G14" s="101" t="s">
        <v>48</v>
      </c>
      <c r="H14" s="150"/>
    </row>
    <row r="15" spans="1:8" s="39" customFormat="1" ht="30" customHeight="1" thickBot="1" x14ac:dyDescent="0.3">
      <c r="B15" s="63" t="s">
        <v>36</v>
      </c>
      <c r="C15" s="122" t="s">
        <v>37</v>
      </c>
      <c r="D15" s="123"/>
      <c r="E15" s="63" t="s">
        <v>38</v>
      </c>
      <c r="F15" s="218" t="s">
        <v>39</v>
      </c>
      <c r="G15" s="219"/>
      <c r="H15" s="150"/>
    </row>
    <row r="16" spans="1:8" s="43" customFormat="1" ht="12" x14ac:dyDescent="0.25">
      <c r="B16" s="40" t="s">
        <v>30</v>
      </c>
      <c r="C16" s="41">
        <v>38</v>
      </c>
      <c r="D16" s="124" t="str">
        <f xml:space="preserve"> IF(C16="","",setValueToTime(C16))</f>
        <v>3h 10 min</v>
      </c>
      <c r="E16" s="42" t="s">
        <v>129</v>
      </c>
      <c r="F16" s="220"/>
      <c r="G16" s="221"/>
      <c r="H16" s="151"/>
    </row>
    <row r="17" spans="2:8" s="43" customFormat="1" ht="12" x14ac:dyDescent="0.25">
      <c r="B17" s="44"/>
      <c r="C17" s="45"/>
      <c r="D17" s="125" t="str">
        <f t="shared" ref="D17:D23" si="1" xml:space="preserve"> IF(C17="","",setValueToTime(C17))</f>
        <v/>
      </c>
      <c r="E17" s="46"/>
      <c r="F17" s="212"/>
      <c r="G17" s="213"/>
      <c r="H17" s="151"/>
    </row>
    <row r="18" spans="2:8" s="43" customFormat="1" ht="12" x14ac:dyDescent="0.25">
      <c r="B18" s="44"/>
      <c r="C18" s="45"/>
      <c r="D18" s="125" t="str">
        <f t="shared" si="1"/>
        <v/>
      </c>
      <c r="E18" s="46"/>
      <c r="F18" s="212"/>
      <c r="G18" s="213"/>
      <c r="H18" s="151"/>
    </row>
    <row r="19" spans="2:8" s="43" customFormat="1" ht="12" x14ac:dyDescent="0.25">
      <c r="B19" s="44"/>
      <c r="C19" s="45"/>
      <c r="D19" s="125" t="str">
        <f t="shared" si="1"/>
        <v/>
      </c>
      <c r="E19" s="46"/>
      <c r="F19" s="212"/>
      <c r="G19" s="213"/>
      <c r="H19" s="151"/>
    </row>
    <row r="20" spans="2:8" s="43" customFormat="1" ht="12" x14ac:dyDescent="0.25">
      <c r="B20" s="44"/>
      <c r="C20" s="45"/>
      <c r="D20" s="126" t="str">
        <f t="shared" si="1"/>
        <v/>
      </c>
      <c r="E20" s="46"/>
      <c r="F20" s="212"/>
      <c r="G20" s="213"/>
      <c r="H20" s="151"/>
    </row>
    <row r="21" spans="2:8" s="43" customFormat="1" ht="12" x14ac:dyDescent="0.25">
      <c r="B21" s="44"/>
      <c r="C21" s="45"/>
      <c r="D21" s="126" t="str">
        <f t="shared" si="1"/>
        <v/>
      </c>
      <c r="E21" s="46"/>
      <c r="F21" s="212"/>
      <c r="G21" s="213"/>
      <c r="H21" s="151"/>
    </row>
    <row r="22" spans="2:8" s="43" customFormat="1" ht="12" x14ac:dyDescent="0.25">
      <c r="B22" s="44"/>
      <c r="C22" s="45"/>
      <c r="D22" s="126" t="str">
        <f t="shared" si="1"/>
        <v/>
      </c>
      <c r="E22" s="46"/>
      <c r="F22" s="212"/>
      <c r="G22" s="213"/>
      <c r="H22" s="151"/>
    </row>
    <row r="23" spans="2:8" s="43" customFormat="1" ht="12.45" thickBot="1" x14ac:dyDescent="0.3">
      <c r="B23" s="44"/>
      <c r="C23" s="47"/>
      <c r="D23" s="127" t="str">
        <f t="shared" si="1"/>
        <v/>
      </c>
      <c r="E23" s="48"/>
      <c r="F23" s="214"/>
      <c r="G23" s="215"/>
      <c r="H23" s="151"/>
    </row>
    <row r="24" spans="2:8" s="43" customFormat="1" ht="12.9" thickBot="1" x14ac:dyDescent="0.3">
      <c r="B24" s="86" t="s">
        <v>41</v>
      </c>
      <c r="C24" s="67">
        <f>SUM(C16:C23)</f>
        <v>38</v>
      </c>
      <c r="D24" s="86" t="str">
        <f xml:space="preserve"> setValueToTime(C24)</f>
        <v>3h 10 min</v>
      </c>
      <c r="E24" s="95"/>
      <c r="F24" s="216"/>
      <c r="G24" s="217"/>
      <c r="H24" s="151"/>
    </row>
    <row r="25" spans="2:8" s="43" customFormat="1" ht="11.6" thickBot="1" x14ac:dyDescent="0.3">
      <c r="B25" s="62"/>
      <c r="C25" s="62"/>
      <c r="D25" s="62"/>
      <c r="E25" s="62"/>
      <c r="F25" s="62"/>
      <c r="G25" s="62"/>
      <c r="H25" s="151"/>
    </row>
    <row r="26" spans="2:8" s="39" customFormat="1" ht="30" customHeight="1" thickBot="1" x14ac:dyDescent="0.3">
      <c r="B26" s="64" t="s">
        <v>34</v>
      </c>
      <c r="C26" s="135">
        <v>25</v>
      </c>
      <c r="D26" s="135"/>
      <c r="E26" s="65" t="s">
        <v>35</v>
      </c>
      <c r="F26" s="77">
        <v>46171</v>
      </c>
      <c r="G26" s="101" t="s">
        <v>47</v>
      </c>
      <c r="H26" s="150"/>
    </row>
    <row r="27" spans="2:8" s="39" customFormat="1" ht="30" customHeight="1" thickBot="1" x14ac:dyDescent="0.3">
      <c r="B27" s="63" t="s">
        <v>36</v>
      </c>
      <c r="C27" s="122" t="s">
        <v>37</v>
      </c>
      <c r="D27" s="123"/>
      <c r="E27" s="63" t="s">
        <v>38</v>
      </c>
      <c r="F27" s="218" t="s">
        <v>39</v>
      </c>
      <c r="G27" s="219"/>
      <c r="H27" s="150"/>
    </row>
    <row r="28" spans="2:8" s="43" customFormat="1" ht="12" x14ac:dyDescent="0.25">
      <c r="B28" s="40" t="s">
        <v>30</v>
      </c>
      <c r="C28" s="41">
        <v>25</v>
      </c>
      <c r="D28" s="124" t="str">
        <f xml:space="preserve"> IF(C28="","",setValueToTime(C28))</f>
        <v>2h 5 min</v>
      </c>
      <c r="E28" s="42" t="s">
        <v>128</v>
      </c>
      <c r="F28" s="220"/>
      <c r="G28" s="221"/>
      <c r="H28" s="151"/>
    </row>
    <row r="29" spans="2:8" s="43" customFormat="1" ht="12" x14ac:dyDescent="0.25">
      <c r="B29" s="44" t="s">
        <v>65</v>
      </c>
      <c r="C29" s="45">
        <v>23</v>
      </c>
      <c r="D29" s="125" t="str">
        <f t="shared" ref="D29:D35" si="2" xml:space="preserve"> IF(C29="","",setValueToTime(C29))</f>
        <v>1h 55 min</v>
      </c>
      <c r="E29" t="s">
        <v>127</v>
      </c>
      <c r="F29" s="212"/>
      <c r="G29" s="213"/>
      <c r="H29" s="151"/>
    </row>
    <row r="30" spans="2:8" s="43" customFormat="1" ht="12" x14ac:dyDescent="0.25">
      <c r="B30" s="44"/>
      <c r="C30" s="45"/>
      <c r="D30" s="125" t="str">
        <f t="shared" si="2"/>
        <v/>
      </c>
      <c r="E30" s="46"/>
      <c r="F30" s="212"/>
      <c r="G30" s="213"/>
      <c r="H30" s="151"/>
    </row>
    <row r="31" spans="2:8" s="43" customFormat="1" ht="12" x14ac:dyDescent="0.25">
      <c r="B31" s="44"/>
      <c r="C31" s="45"/>
      <c r="D31" s="125" t="str">
        <f t="shared" si="2"/>
        <v/>
      </c>
      <c r="E31" s="46"/>
      <c r="F31" s="212"/>
      <c r="G31" s="213"/>
      <c r="H31" s="151"/>
    </row>
    <row r="32" spans="2:8" s="43" customFormat="1" ht="12" x14ac:dyDescent="0.25">
      <c r="B32" s="44"/>
      <c r="C32" s="45"/>
      <c r="D32" s="126" t="str">
        <f t="shared" si="2"/>
        <v/>
      </c>
      <c r="E32" s="46"/>
      <c r="F32" s="212"/>
      <c r="G32" s="213"/>
      <c r="H32" s="151"/>
    </row>
    <row r="33" spans="2:8" s="43" customFormat="1" ht="12" x14ac:dyDescent="0.25">
      <c r="B33" s="44"/>
      <c r="C33" s="45"/>
      <c r="D33" s="126" t="str">
        <f t="shared" si="2"/>
        <v/>
      </c>
      <c r="E33" s="46"/>
      <c r="F33" s="212"/>
      <c r="G33" s="213"/>
      <c r="H33" s="151"/>
    </row>
    <row r="34" spans="2:8" s="43" customFormat="1" ht="12" x14ac:dyDescent="0.25">
      <c r="B34" s="44"/>
      <c r="C34" s="45"/>
      <c r="D34" s="126" t="str">
        <f t="shared" si="2"/>
        <v/>
      </c>
      <c r="E34" s="46"/>
      <c r="F34" s="212"/>
      <c r="G34" s="213"/>
      <c r="H34" s="151"/>
    </row>
    <row r="35" spans="2:8" s="43" customFormat="1" ht="12.45" thickBot="1" x14ac:dyDescent="0.3">
      <c r="B35" s="44"/>
      <c r="C35" s="47"/>
      <c r="D35" s="127" t="str">
        <f t="shared" si="2"/>
        <v/>
      </c>
      <c r="E35" s="48"/>
      <c r="F35" s="214"/>
      <c r="G35" s="215"/>
      <c r="H35" s="151"/>
    </row>
    <row r="36" spans="2:8" s="43" customFormat="1" ht="12.9" thickBot="1" x14ac:dyDescent="0.3">
      <c r="B36" s="86" t="s">
        <v>41</v>
      </c>
      <c r="C36" s="67">
        <f>SUM(C28:C35)</f>
        <v>48</v>
      </c>
      <c r="D36" s="86" t="str">
        <f xml:space="preserve"> setValueToTime(C36)</f>
        <v>4h</v>
      </c>
      <c r="E36" s="95"/>
      <c r="F36" s="216"/>
      <c r="G36" s="217"/>
      <c r="H36" s="151"/>
    </row>
    <row r="37" spans="2:8" s="43" customFormat="1" ht="11.6" thickBot="1" x14ac:dyDescent="0.3">
      <c r="B37" s="62"/>
      <c r="C37" s="62"/>
      <c r="D37" s="62"/>
      <c r="E37" s="62"/>
      <c r="F37" s="62"/>
      <c r="G37" s="62"/>
      <c r="H37" s="151"/>
    </row>
    <row r="38" spans="2:8" s="39" customFormat="1" ht="30" customHeight="1" thickBot="1" x14ac:dyDescent="0.3">
      <c r="B38" s="64" t="s">
        <v>34</v>
      </c>
      <c r="C38" s="135">
        <v>24</v>
      </c>
      <c r="D38" s="135"/>
      <c r="E38" s="65" t="s">
        <v>35</v>
      </c>
      <c r="F38" s="77">
        <v>46170</v>
      </c>
      <c r="G38" s="101" t="s">
        <v>48</v>
      </c>
      <c r="H38" s="150"/>
    </row>
    <row r="39" spans="2:8" s="39" customFormat="1" ht="30" customHeight="1" thickBot="1" x14ac:dyDescent="0.3">
      <c r="B39" s="63" t="s">
        <v>36</v>
      </c>
      <c r="C39" s="122" t="s">
        <v>37</v>
      </c>
      <c r="D39" s="123"/>
      <c r="E39" s="63" t="s">
        <v>38</v>
      </c>
      <c r="F39" s="218" t="s">
        <v>39</v>
      </c>
      <c r="G39" s="219"/>
      <c r="H39" s="150"/>
    </row>
    <row r="40" spans="2:8" s="43" customFormat="1" ht="12" x14ac:dyDescent="0.25">
      <c r="B40" s="40" t="s">
        <v>30</v>
      </c>
      <c r="C40" s="41">
        <v>32</v>
      </c>
      <c r="D40" s="124" t="str">
        <f xml:space="preserve"> IF(C40="","",setValueToTime(C40))</f>
        <v>2h 40 min</v>
      </c>
      <c r="E40" t="s">
        <v>125</v>
      </c>
      <c r="F40" s="220"/>
      <c r="G40" s="221"/>
      <c r="H40" s="151"/>
    </row>
    <row r="41" spans="2:8" s="43" customFormat="1" ht="12" x14ac:dyDescent="0.25">
      <c r="B41" s="44" t="s">
        <v>49</v>
      </c>
      <c r="C41" s="45">
        <v>6</v>
      </c>
      <c r="D41" s="125" t="str">
        <f t="shared" ref="D41:D47" si="3" xml:space="preserve"> IF(C41="","",setValueToTime(C41))</f>
        <v xml:space="preserve"> 30 min</v>
      </c>
      <c r="E41" t="s">
        <v>126</v>
      </c>
      <c r="F41" s="212"/>
      <c r="G41" s="213"/>
      <c r="H41" s="151"/>
    </row>
    <row r="42" spans="2:8" s="43" customFormat="1" ht="12" x14ac:dyDescent="0.25">
      <c r="B42" s="44"/>
      <c r="C42" s="45"/>
      <c r="D42" s="125" t="str">
        <f t="shared" si="3"/>
        <v/>
      </c>
      <c r="E42" s="46"/>
      <c r="F42" s="212"/>
      <c r="G42" s="213"/>
      <c r="H42" s="151"/>
    </row>
    <row r="43" spans="2:8" s="43" customFormat="1" ht="12" x14ac:dyDescent="0.25">
      <c r="B43" s="44"/>
      <c r="C43" s="45"/>
      <c r="D43" s="125" t="str">
        <f t="shared" si="3"/>
        <v/>
      </c>
      <c r="E43" s="46"/>
      <c r="F43" s="212"/>
      <c r="G43" s="213"/>
      <c r="H43" s="151"/>
    </row>
    <row r="44" spans="2:8" s="43" customFormat="1" ht="12" x14ac:dyDescent="0.25">
      <c r="B44" s="44"/>
      <c r="C44" s="45"/>
      <c r="D44" s="126" t="str">
        <f t="shared" si="3"/>
        <v/>
      </c>
      <c r="E44" s="46"/>
      <c r="F44" s="212"/>
      <c r="G44" s="213"/>
      <c r="H44" s="151"/>
    </row>
    <row r="45" spans="2:8" s="43" customFormat="1" ht="12" x14ac:dyDescent="0.25">
      <c r="B45" s="44"/>
      <c r="C45" s="45"/>
      <c r="D45" s="126" t="str">
        <f t="shared" si="3"/>
        <v/>
      </c>
      <c r="E45" s="46"/>
      <c r="F45" s="212"/>
      <c r="G45" s="213"/>
      <c r="H45" s="151"/>
    </row>
    <row r="46" spans="2:8" s="43" customFormat="1" ht="12" x14ac:dyDescent="0.25">
      <c r="B46" s="44"/>
      <c r="C46" s="45"/>
      <c r="D46" s="126" t="str">
        <f t="shared" si="3"/>
        <v/>
      </c>
      <c r="E46" s="46"/>
      <c r="F46" s="212"/>
      <c r="G46" s="213"/>
      <c r="H46" s="151"/>
    </row>
    <row r="47" spans="2:8" s="43" customFormat="1" ht="12.45" thickBot="1" x14ac:dyDescent="0.3">
      <c r="B47" s="44"/>
      <c r="C47" s="47"/>
      <c r="D47" s="127" t="str">
        <f t="shared" si="3"/>
        <v/>
      </c>
      <c r="E47" s="48"/>
      <c r="F47" s="214"/>
      <c r="G47" s="215"/>
      <c r="H47" s="151"/>
    </row>
    <row r="48" spans="2:8" s="43" customFormat="1" ht="12.9" thickBot="1" x14ac:dyDescent="0.3">
      <c r="B48" s="86" t="s">
        <v>41</v>
      </c>
      <c r="C48" s="67">
        <f>SUM(C40:C47)</f>
        <v>38</v>
      </c>
      <c r="D48" s="86" t="str">
        <f xml:space="preserve"> setValueToTime(C48)</f>
        <v>3h 10 min</v>
      </c>
      <c r="E48" s="95"/>
      <c r="F48" s="216"/>
      <c r="G48" s="217"/>
      <c r="H48" s="151"/>
    </row>
    <row r="49" spans="2:8" s="43" customFormat="1" ht="11.6" thickBot="1" x14ac:dyDescent="0.3">
      <c r="B49" s="62"/>
      <c r="C49" s="62"/>
      <c r="D49" s="62"/>
      <c r="E49" s="62"/>
      <c r="F49" s="62"/>
      <c r="G49" s="62"/>
      <c r="H49" s="151"/>
    </row>
    <row r="50" spans="2:8" s="39" customFormat="1" ht="30" customHeight="1" thickBot="1" x14ac:dyDescent="0.3">
      <c r="B50" s="64" t="s">
        <v>34</v>
      </c>
      <c r="C50" s="135">
        <v>23</v>
      </c>
      <c r="D50" s="135"/>
      <c r="E50" s="65" t="s">
        <v>35</v>
      </c>
      <c r="F50" s="77">
        <v>46170</v>
      </c>
      <c r="G50" s="101" t="s">
        <v>47</v>
      </c>
      <c r="H50" s="150"/>
    </row>
    <row r="51" spans="2:8" s="39" customFormat="1" ht="30" customHeight="1" thickBot="1" x14ac:dyDescent="0.3">
      <c r="B51" s="63" t="s">
        <v>36</v>
      </c>
      <c r="C51" s="122" t="s">
        <v>37</v>
      </c>
      <c r="D51" s="123"/>
      <c r="E51" s="63" t="s">
        <v>38</v>
      </c>
      <c r="F51" s="218" t="s">
        <v>39</v>
      </c>
      <c r="G51" s="219"/>
      <c r="H51" s="150"/>
    </row>
    <row r="52" spans="2:8" s="43" customFormat="1" ht="12" x14ac:dyDescent="0.25">
      <c r="B52" s="40" t="s">
        <v>65</v>
      </c>
      <c r="C52" s="41">
        <v>20</v>
      </c>
      <c r="D52" s="124" t="str">
        <f xml:space="preserve"> IF(C52="","",setValueToTime(C52))</f>
        <v>1h 40 min</v>
      </c>
      <c r="E52" t="s">
        <v>124</v>
      </c>
      <c r="F52" s="220"/>
      <c r="G52" s="221"/>
      <c r="H52" s="151"/>
    </row>
    <row r="53" spans="2:8" s="43" customFormat="1" ht="12" x14ac:dyDescent="0.25">
      <c r="B53" s="44" t="s">
        <v>30</v>
      </c>
      <c r="C53" s="45">
        <v>8</v>
      </c>
      <c r="D53" s="125" t="str">
        <f t="shared" ref="D53:D59" si="4" xml:space="preserve"> IF(C53="","",setValueToTime(C53))</f>
        <v xml:space="preserve"> 40 min</v>
      </c>
      <c r="E53" s="46" t="s">
        <v>265</v>
      </c>
      <c r="F53" s="212"/>
      <c r="G53" s="213"/>
      <c r="H53" s="151"/>
    </row>
    <row r="54" spans="2:8" s="43" customFormat="1" ht="12" x14ac:dyDescent="0.25">
      <c r="B54" s="44" t="s">
        <v>72</v>
      </c>
      <c r="C54" s="45">
        <v>20</v>
      </c>
      <c r="D54" s="125" t="str">
        <f t="shared" si="4"/>
        <v>1h 40 min</v>
      </c>
      <c r="E54" s="46" t="s">
        <v>123</v>
      </c>
      <c r="F54" s="212"/>
      <c r="G54" s="213"/>
      <c r="H54" s="151"/>
    </row>
    <row r="55" spans="2:8" s="43" customFormat="1" ht="12" x14ac:dyDescent="0.25">
      <c r="B55" s="44"/>
      <c r="C55" s="45"/>
      <c r="D55" s="125" t="str">
        <f t="shared" si="4"/>
        <v/>
      </c>
      <c r="E55" s="46"/>
      <c r="F55" s="212"/>
      <c r="G55" s="213"/>
      <c r="H55" s="151"/>
    </row>
    <row r="56" spans="2:8" s="43" customFormat="1" ht="12" x14ac:dyDescent="0.25">
      <c r="B56" s="44"/>
      <c r="C56" s="45"/>
      <c r="D56" s="126" t="str">
        <f t="shared" si="4"/>
        <v/>
      </c>
      <c r="E56" s="46"/>
      <c r="F56" s="212"/>
      <c r="G56" s="213"/>
      <c r="H56" s="151"/>
    </row>
    <row r="57" spans="2:8" s="43" customFormat="1" ht="12" x14ac:dyDescent="0.25">
      <c r="B57" s="44"/>
      <c r="C57" s="45"/>
      <c r="D57" s="126" t="str">
        <f t="shared" si="4"/>
        <v/>
      </c>
      <c r="E57" s="46"/>
      <c r="F57" s="212"/>
      <c r="G57" s="213"/>
      <c r="H57" s="151"/>
    </row>
    <row r="58" spans="2:8" s="43" customFormat="1" ht="12" x14ac:dyDescent="0.25">
      <c r="B58" s="44"/>
      <c r="C58" s="45"/>
      <c r="D58" s="126" t="str">
        <f t="shared" si="4"/>
        <v/>
      </c>
      <c r="E58" s="46"/>
      <c r="F58" s="212"/>
      <c r="G58" s="213"/>
      <c r="H58" s="151"/>
    </row>
    <row r="59" spans="2:8" s="43" customFormat="1" ht="12.45" thickBot="1" x14ac:dyDescent="0.3">
      <c r="B59" s="44"/>
      <c r="C59" s="47"/>
      <c r="D59" s="127" t="str">
        <f t="shared" si="4"/>
        <v/>
      </c>
      <c r="E59" s="48"/>
      <c r="F59" s="214"/>
      <c r="G59" s="215"/>
      <c r="H59" s="151"/>
    </row>
    <row r="60" spans="2:8" s="43" customFormat="1" ht="12.9" thickBot="1" x14ac:dyDescent="0.3">
      <c r="B60" s="86" t="s">
        <v>41</v>
      </c>
      <c r="C60" s="67">
        <f>SUM(C52:C59)</f>
        <v>48</v>
      </c>
      <c r="D60" s="86" t="str">
        <f xml:space="preserve"> setValueToTime(C60)</f>
        <v>4h</v>
      </c>
      <c r="E60" s="95"/>
      <c r="F60" s="216"/>
      <c r="G60" s="217"/>
      <c r="H60" s="151"/>
    </row>
    <row r="61" spans="2:8" s="43" customFormat="1" ht="11.6" thickBot="1" x14ac:dyDescent="0.3">
      <c r="B61" s="62"/>
      <c r="C61" s="62"/>
      <c r="D61" s="62"/>
      <c r="E61" s="62"/>
      <c r="F61" s="62"/>
      <c r="G61" s="62"/>
      <c r="H61" s="151"/>
    </row>
    <row r="62" spans="2:8" s="39" customFormat="1" ht="30" customHeight="1" thickBot="1" x14ac:dyDescent="0.3">
      <c r="B62" s="64" t="s">
        <v>34</v>
      </c>
      <c r="C62" s="135">
        <v>22</v>
      </c>
      <c r="D62" s="135"/>
      <c r="E62" s="65" t="s">
        <v>35</v>
      </c>
      <c r="F62" s="77">
        <v>46169</v>
      </c>
      <c r="G62" s="101" t="s">
        <v>48</v>
      </c>
      <c r="H62" s="150"/>
    </row>
    <row r="63" spans="2:8" s="39" customFormat="1" ht="30" customHeight="1" thickBot="1" x14ac:dyDescent="0.3">
      <c r="B63" s="63" t="s">
        <v>36</v>
      </c>
      <c r="C63" s="122" t="s">
        <v>37</v>
      </c>
      <c r="D63" s="123"/>
      <c r="E63" s="63" t="s">
        <v>38</v>
      </c>
      <c r="F63" s="218" t="s">
        <v>39</v>
      </c>
      <c r="G63" s="219"/>
      <c r="H63" s="150"/>
    </row>
    <row r="64" spans="2:8" s="43" customFormat="1" ht="12.45" thickBot="1" x14ac:dyDescent="0.3">
      <c r="B64" s="40" t="s">
        <v>30</v>
      </c>
      <c r="C64" s="41">
        <v>6</v>
      </c>
      <c r="D64" s="124" t="str">
        <f xml:space="preserve"> IF(C64="","",setValueToTime(C64))</f>
        <v xml:space="preserve"> 30 min</v>
      </c>
      <c r="E64" s="42" t="s">
        <v>122</v>
      </c>
      <c r="F64" s="220"/>
      <c r="G64" s="221"/>
      <c r="H64" s="151"/>
    </row>
    <row r="65" spans="2:8" s="43" customFormat="1" ht="12" x14ac:dyDescent="0.25">
      <c r="B65" s="40" t="s">
        <v>72</v>
      </c>
      <c r="C65" s="45">
        <v>15</v>
      </c>
      <c r="D65" s="125" t="str">
        <f t="shared" ref="D65:D71" si="5" xml:space="preserve"> IF(C65="","",setValueToTime(C65))</f>
        <v>1h 15 min</v>
      </c>
      <c r="E65" t="s">
        <v>119</v>
      </c>
      <c r="F65" s="212"/>
      <c r="G65" s="213"/>
      <c r="H65" s="151"/>
    </row>
    <row r="66" spans="2:8" s="43" customFormat="1" ht="12" x14ac:dyDescent="0.25">
      <c r="B66" s="44" t="s">
        <v>68</v>
      </c>
      <c r="C66" s="45">
        <v>13</v>
      </c>
      <c r="D66" s="125" t="str">
        <f t="shared" si="5"/>
        <v>1h 5 min</v>
      </c>
      <c r="E66" t="s">
        <v>119</v>
      </c>
      <c r="F66" s="212"/>
      <c r="G66" s="213"/>
      <c r="H66" s="151"/>
    </row>
    <row r="67" spans="2:8" s="43" customFormat="1" ht="12" x14ac:dyDescent="0.25">
      <c r="B67" s="44" t="s">
        <v>29</v>
      </c>
      <c r="C67" s="45">
        <v>2</v>
      </c>
      <c r="D67" s="125" t="str">
        <f t="shared" si="5"/>
        <v xml:space="preserve"> 10 min</v>
      </c>
      <c r="E67" s="46" t="s">
        <v>93</v>
      </c>
      <c r="F67" s="212"/>
      <c r="G67" s="213"/>
      <c r="H67" s="151"/>
    </row>
    <row r="68" spans="2:8" s="43" customFormat="1" ht="12" x14ac:dyDescent="0.25">
      <c r="B68" s="44" t="s">
        <v>30</v>
      </c>
      <c r="C68" s="45">
        <v>2</v>
      </c>
      <c r="D68" s="126" t="str">
        <f t="shared" si="5"/>
        <v xml:space="preserve"> 10 min</v>
      </c>
      <c r="E68" s="46" t="s">
        <v>94</v>
      </c>
      <c r="F68" s="212"/>
      <c r="G68" s="213"/>
      <c r="H68" s="151"/>
    </row>
    <row r="69" spans="2:8" s="43" customFormat="1" ht="12" x14ac:dyDescent="0.25">
      <c r="B69" s="44"/>
      <c r="C69" s="45"/>
      <c r="D69" s="126" t="str">
        <f t="shared" si="5"/>
        <v/>
      </c>
      <c r="E69" s="46"/>
      <c r="F69" s="212"/>
      <c r="G69" s="213"/>
      <c r="H69" s="151"/>
    </row>
    <row r="70" spans="2:8" s="43" customFormat="1" ht="12" x14ac:dyDescent="0.25">
      <c r="B70" s="44"/>
      <c r="C70" s="45"/>
      <c r="D70" s="126" t="str">
        <f t="shared" si="5"/>
        <v/>
      </c>
      <c r="E70" s="46"/>
      <c r="F70" s="212"/>
      <c r="G70" s="213"/>
      <c r="H70" s="151"/>
    </row>
    <row r="71" spans="2:8" s="43" customFormat="1" ht="12.45" thickBot="1" x14ac:dyDescent="0.3">
      <c r="B71" s="44"/>
      <c r="C71" s="47"/>
      <c r="D71" s="127" t="str">
        <f t="shared" si="5"/>
        <v/>
      </c>
      <c r="E71" s="48"/>
      <c r="F71" s="214"/>
      <c r="G71" s="215"/>
      <c r="H71" s="151"/>
    </row>
    <row r="72" spans="2:8" s="43" customFormat="1" ht="12.9" thickBot="1" x14ac:dyDescent="0.3">
      <c r="B72" s="86" t="s">
        <v>41</v>
      </c>
      <c r="C72" s="67">
        <f>SUM(C64:C71)</f>
        <v>38</v>
      </c>
      <c r="D72" s="86" t="str">
        <f xml:space="preserve"> setValueToTime(C72)</f>
        <v>3h 10 min</v>
      </c>
      <c r="E72" s="95"/>
      <c r="F72" s="216"/>
      <c r="G72" s="217"/>
      <c r="H72" s="151"/>
    </row>
    <row r="73" spans="2:8" s="43" customFormat="1" ht="11.6" thickBot="1" x14ac:dyDescent="0.3">
      <c r="B73" s="62"/>
      <c r="C73" s="62"/>
      <c r="D73" s="62"/>
      <c r="E73" s="62"/>
      <c r="F73" s="62"/>
      <c r="G73" s="62"/>
      <c r="H73" s="151"/>
    </row>
    <row r="74" spans="2:8" s="39" customFormat="1" ht="30" customHeight="1" thickBot="1" x14ac:dyDescent="0.3">
      <c r="B74" s="64" t="s">
        <v>34</v>
      </c>
      <c r="C74" s="135">
        <v>21</v>
      </c>
      <c r="D74" s="135"/>
      <c r="E74" s="65" t="s">
        <v>35</v>
      </c>
      <c r="F74" s="77">
        <v>46169</v>
      </c>
      <c r="G74" s="101" t="s">
        <v>47</v>
      </c>
      <c r="H74" s="150"/>
    </row>
    <row r="75" spans="2:8" s="39" customFormat="1" ht="30" customHeight="1" thickBot="1" x14ac:dyDescent="0.3">
      <c r="B75" s="63" t="s">
        <v>36</v>
      </c>
      <c r="C75" s="122" t="s">
        <v>37</v>
      </c>
      <c r="D75" s="123"/>
      <c r="E75" s="63" t="s">
        <v>38</v>
      </c>
      <c r="F75" s="218" t="s">
        <v>39</v>
      </c>
      <c r="G75" s="219"/>
      <c r="H75" s="150"/>
    </row>
    <row r="76" spans="2:8" s="43" customFormat="1" ht="12" x14ac:dyDescent="0.25">
      <c r="B76" s="40" t="s">
        <v>71</v>
      </c>
      <c r="C76" s="41">
        <v>15</v>
      </c>
      <c r="D76" s="124" t="str">
        <f xml:space="preserve"> IF(C76="","",setValueToTime(C76))</f>
        <v>1h 15 min</v>
      </c>
      <c r="E76" s="42" t="s">
        <v>121</v>
      </c>
      <c r="F76" s="220"/>
      <c r="G76" s="221"/>
      <c r="H76" s="151"/>
    </row>
    <row r="77" spans="2:8" s="43" customFormat="1" ht="12" x14ac:dyDescent="0.25">
      <c r="B77" s="44" t="s">
        <v>30</v>
      </c>
      <c r="C77" s="45">
        <v>6</v>
      </c>
      <c r="D77" s="125" t="str">
        <f t="shared" ref="D77:D83" si="6" xml:space="preserve"> IF(C77="","",setValueToTime(C77))</f>
        <v xml:space="preserve"> 30 min</v>
      </c>
      <c r="E77" t="s">
        <v>120</v>
      </c>
      <c r="F77" s="212"/>
      <c r="G77" s="213"/>
      <c r="H77" s="151"/>
    </row>
    <row r="78" spans="2:8" s="43" customFormat="1" ht="12" x14ac:dyDescent="0.25">
      <c r="B78" s="44" t="s">
        <v>67</v>
      </c>
      <c r="C78" s="45">
        <v>27</v>
      </c>
      <c r="D78" s="125" t="str">
        <f t="shared" si="6"/>
        <v>2h 15 min</v>
      </c>
      <c r="E78" t="s">
        <v>133</v>
      </c>
      <c r="F78" s="212"/>
      <c r="G78" s="213"/>
      <c r="H78" s="151"/>
    </row>
    <row r="79" spans="2:8" s="43" customFormat="1" ht="12" x14ac:dyDescent="0.25">
      <c r="B79" s="44"/>
      <c r="C79" s="45"/>
      <c r="D79" s="125" t="str">
        <f t="shared" si="6"/>
        <v/>
      </c>
      <c r="E79" s="46"/>
      <c r="F79" s="212"/>
      <c r="G79" s="213"/>
      <c r="H79" s="151"/>
    </row>
    <row r="80" spans="2:8" s="43" customFormat="1" ht="12" x14ac:dyDescent="0.25">
      <c r="B80" s="44"/>
      <c r="C80" s="45"/>
      <c r="D80" s="126" t="str">
        <f t="shared" si="6"/>
        <v/>
      </c>
      <c r="E80" s="46"/>
      <c r="F80" s="212"/>
      <c r="G80" s="213"/>
      <c r="H80" s="151"/>
    </row>
    <row r="81" spans="2:8" s="43" customFormat="1" ht="12" x14ac:dyDescent="0.25">
      <c r="B81" s="44"/>
      <c r="C81" s="45"/>
      <c r="D81" s="126" t="str">
        <f t="shared" si="6"/>
        <v/>
      </c>
      <c r="E81" s="46"/>
      <c r="F81" s="212"/>
      <c r="G81" s="213"/>
      <c r="H81" s="151"/>
    </row>
    <row r="82" spans="2:8" s="43" customFormat="1" ht="12" x14ac:dyDescent="0.25">
      <c r="B82" s="44"/>
      <c r="C82" s="45"/>
      <c r="D82" s="126" t="str">
        <f t="shared" si="6"/>
        <v/>
      </c>
      <c r="E82" s="46"/>
      <c r="F82" s="212"/>
      <c r="G82" s="213"/>
      <c r="H82" s="151"/>
    </row>
    <row r="83" spans="2:8" s="43" customFormat="1" ht="12.45" thickBot="1" x14ac:dyDescent="0.3">
      <c r="B83" s="44"/>
      <c r="C83" s="47"/>
      <c r="D83" s="127" t="str">
        <f t="shared" si="6"/>
        <v/>
      </c>
      <c r="E83" s="48"/>
      <c r="F83" s="214"/>
      <c r="G83" s="215"/>
      <c r="H83" s="151"/>
    </row>
    <row r="84" spans="2:8" s="43" customFormat="1" ht="12.9" thickBot="1" x14ac:dyDescent="0.3">
      <c r="B84" s="86" t="s">
        <v>41</v>
      </c>
      <c r="C84" s="67">
        <f>SUM(C76:C83)</f>
        <v>48</v>
      </c>
      <c r="D84" s="86" t="str">
        <f xml:space="preserve"> setValueToTime(C84)</f>
        <v>4h</v>
      </c>
      <c r="E84" s="95"/>
      <c r="F84" s="216"/>
      <c r="G84" s="217"/>
      <c r="H84" s="151"/>
    </row>
    <row r="85" spans="2:8" s="43" customFormat="1" ht="11.6" thickBot="1" x14ac:dyDescent="0.3">
      <c r="B85" s="62"/>
      <c r="C85" s="62"/>
      <c r="D85" s="62"/>
      <c r="E85" s="62"/>
      <c r="F85" s="62"/>
      <c r="G85" s="62"/>
      <c r="H85" s="151"/>
    </row>
    <row r="86" spans="2:8" s="39" customFormat="1" ht="30" customHeight="1" thickBot="1" x14ac:dyDescent="0.3">
      <c r="B86" s="64" t="s">
        <v>34</v>
      </c>
      <c r="C86" s="135">
        <v>20</v>
      </c>
      <c r="D86" s="135"/>
      <c r="E86" s="65" t="s">
        <v>35</v>
      </c>
      <c r="F86" s="77">
        <v>46164</v>
      </c>
      <c r="G86" s="101" t="s">
        <v>48</v>
      </c>
      <c r="H86" s="150"/>
    </row>
    <row r="87" spans="2:8" s="39" customFormat="1" ht="30" customHeight="1" thickBot="1" x14ac:dyDescent="0.3">
      <c r="B87" s="63" t="s">
        <v>36</v>
      </c>
      <c r="C87" s="122" t="s">
        <v>37</v>
      </c>
      <c r="D87" s="123"/>
      <c r="E87" s="63" t="s">
        <v>38</v>
      </c>
      <c r="F87" s="218" t="s">
        <v>39</v>
      </c>
      <c r="G87" s="219"/>
      <c r="H87" s="150"/>
    </row>
    <row r="88" spans="2:8" s="43" customFormat="1" ht="12" x14ac:dyDescent="0.25">
      <c r="B88" s="40" t="s">
        <v>71</v>
      </c>
      <c r="C88" s="41">
        <v>32</v>
      </c>
      <c r="D88" s="124" t="str">
        <f xml:space="preserve"> IF(C88="","",setValueToTime(C88))</f>
        <v>2h 40 min</v>
      </c>
      <c r="E88" s="42" t="s">
        <v>118</v>
      </c>
      <c r="F88" s="220"/>
      <c r="G88" s="221"/>
      <c r="H88" s="151"/>
    </row>
    <row r="89" spans="2:8" s="43" customFormat="1" ht="12" x14ac:dyDescent="0.25">
      <c r="B89" s="44" t="s">
        <v>49</v>
      </c>
      <c r="C89" s="45">
        <v>2</v>
      </c>
      <c r="D89" s="125" t="str">
        <f t="shared" ref="D89:D95" si="7" xml:space="preserve"> IF(C89="","",setValueToTime(C89))</f>
        <v xml:space="preserve"> 10 min</v>
      </c>
      <c r="E89" s="46" t="s">
        <v>117</v>
      </c>
      <c r="F89" s="212"/>
      <c r="G89" s="213"/>
      <c r="H89" s="151"/>
    </row>
    <row r="90" spans="2:8" s="43" customFormat="1" ht="12" x14ac:dyDescent="0.25">
      <c r="B90" s="44" t="s">
        <v>29</v>
      </c>
      <c r="C90" s="45">
        <v>2</v>
      </c>
      <c r="D90" s="125" t="str">
        <f t="shared" si="7"/>
        <v xml:space="preserve"> 10 min</v>
      </c>
      <c r="E90" s="46" t="s">
        <v>93</v>
      </c>
      <c r="F90" s="212"/>
      <c r="G90" s="213"/>
      <c r="H90" s="151"/>
    </row>
    <row r="91" spans="2:8" s="43" customFormat="1" ht="12" x14ac:dyDescent="0.25">
      <c r="B91" s="44" t="s">
        <v>30</v>
      </c>
      <c r="C91" s="45">
        <v>2</v>
      </c>
      <c r="D91" s="125" t="str">
        <f t="shared" si="7"/>
        <v xml:space="preserve"> 10 min</v>
      </c>
      <c r="E91" s="46" t="s">
        <v>94</v>
      </c>
      <c r="F91" s="212"/>
      <c r="G91" s="213"/>
      <c r="H91" s="151"/>
    </row>
    <row r="92" spans="2:8" s="43" customFormat="1" ht="12" x14ac:dyDescent="0.25">
      <c r="B92" s="44"/>
      <c r="C92" s="45"/>
      <c r="D92" s="126" t="str">
        <f t="shared" si="7"/>
        <v/>
      </c>
      <c r="E92" s="46"/>
      <c r="F92" s="212"/>
      <c r="G92" s="213"/>
      <c r="H92" s="151"/>
    </row>
    <row r="93" spans="2:8" s="43" customFormat="1" ht="12" x14ac:dyDescent="0.25">
      <c r="B93" s="44"/>
      <c r="C93" s="45"/>
      <c r="D93" s="126" t="str">
        <f t="shared" si="7"/>
        <v/>
      </c>
      <c r="E93" s="46"/>
      <c r="F93" s="212"/>
      <c r="G93" s="213"/>
      <c r="H93" s="151"/>
    </row>
    <row r="94" spans="2:8" s="43" customFormat="1" ht="12" x14ac:dyDescent="0.25">
      <c r="B94" s="44"/>
      <c r="C94" s="45"/>
      <c r="D94" s="126" t="str">
        <f t="shared" si="7"/>
        <v/>
      </c>
      <c r="E94" s="46"/>
      <c r="F94" s="212"/>
      <c r="G94" s="213"/>
      <c r="H94" s="151"/>
    </row>
    <row r="95" spans="2:8" s="43" customFormat="1" ht="12.45" thickBot="1" x14ac:dyDescent="0.3">
      <c r="B95" s="44"/>
      <c r="C95" s="47"/>
      <c r="D95" s="127" t="str">
        <f t="shared" si="7"/>
        <v/>
      </c>
      <c r="E95" s="48"/>
      <c r="F95" s="214"/>
      <c r="G95" s="215"/>
      <c r="H95" s="151"/>
    </row>
    <row r="96" spans="2:8" s="43" customFormat="1" ht="12.9" thickBot="1" x14ac:dyDescent="0.3">
      <c r="B96" s="86" t="s">
        <v>41</v>
      </c>
      <c r="C96" s="67">
        <f>SUM(C88:C95)</f>
        <v>38</v>
      </c>
      <c r="D96" s="86" t="str">
        <f xml:space="preserve"> setValueToTime(C96)</f>
        <v>3h 10 min</v>
      </c>
      <c r="E96" s="95"/>
      <c r="F96" s="216"/>
      <c r="G96" s="217"/>
      <c r="H96" s="151"/>
    </row>
    <row r="97" spans="2:8" s="43" customFormat="1" ht="11.6" thickBot="1" x14ac:dyDescent="0.3">
      <c r="B97" s="62"/>
      <c r="C97" s="62"/>
      <c r="D97" s="62"/>
      <c r="E97" s="62"/>
      <c r="F97" s="62"/>
      <c r="G97" s="62"/>
      <c r="H97" s="151"/>
    </row>
    <row r="98" spans="2:8" s="39" customFormat="1" ht="30" customHeight="1" thickBot="1" x14ac:dyDescent="0.3">
      <c r="B98" s="64" t="s">
        <v>34</v>
      </c>
      <c r="C98" s="135">
        <v>19</v>
      </c>
      <c r="D98" s="135"/>
      <c r="E98" s="65" t="s">
        <v>35</v>
      </c>
      <c r="F98" s="77">
        <v>46164</v>
      </c>
      <c r="G98" s="101" t="s">
        <v>47</v>
      </c>
      <c r="H98" s="150"/>
    </row>
    <row r="99" spans="2:8" s="39" customFormat="1" ht="30" customHeight="1" thickBot="1" x14ac:dyDescent="0.3">
      <c r="B99" s="63" t="s">
        <v>36</v>
      </c>
      <c r="C99" s="122" t="s">
        <v>37</v>
      </c>
      <c r="D99" s="123"/>
      <c r="E99" s="63" t="s">
        <v>38</v>
      </c>
      <c r="F99" s="218" t="s">
        <v>39</v>
      </c>
      <c r="G99" s="219"/>
      <c r="H99" s="150"/>
    </row>
    <row r="100" spans="2:8" s="43" customFormat="1" ht="12" x14ac:dyDescent="0.25">
      <c r="B100" s="40" t="s">
        <v>63</v>
      </c>
      <c r="C100" s="41">
        <v>28</v>
      </c>
      <c r="D100" s="124" t="str">
        <f xml:space="preserve"> IF(C100="","",setValueToTime(C100))</f>
        <v>2h 20 min</v>
      </c>
      <c r="E100" t="s">
        <v>134</v>
      </c>
      <c r="F100" s="220"/>
      <c r="G100" s="221"/>
      <c r="H100" s="151"/>
    </row>
    <row r="101" spans="2:8" s="43" customFormat="1" ht="12" x14ac:dyDescent="0.25">
      <c r="B101" s="44" t="s">
        <v>61</v>
      </c>
      <c r="C101" s="45">
        <v>20</v>
      </c>
      <c r="D101" s="125" t="str">
        <f t="shared" ref="D101:D107" si="8" xml:space="preserve"> IF(C101="","",setValueToTime(C101))</f>
        <v>1h 40 min</v>
      </c>
      <c r="E101" s="46" t="s">
        <v>116</v>
      </c>
      <c r="F101" s="212"/>
      <c r="G101" s="213"/>
      <c r="H101" s="151"/>
    </row>
    <row r="102" spans="2:8" s="43" customFormat="1" ht="12" x14ac:dyDescent="0.25">
      <c r="B102" s="44"/>
      <c r="C102" s="45"/>
      <c r="D102" s="125" t="str">
        <f t="shared" si="8"/>
        <v/>
      </c>
      <c r="E102" s="46"/>
      <c r="F102" s="212"/>
      <c r="G102" s="213"/>
      <c r="H102" s="151"/>
    </row>
    <row r="103" spans="2:8" s="43" customFormat="1" ht="12" x14ac:dyDescent="0.25">
      <c r="B103" s="44"/>
      <c r="C103" s="45"/>
      <c r="D103" s="125" t="str">
        <f t="shared" si="8"/>
        <v/>
      </c>
      <c r="E103" s="46"/>
      <c r="F103" s="212"/>
      <c r="G103" s="213"/>
      <c r="H103" s="151"/>
    </row>
    <row r="104" spans="2:8" s="43" customFormat="1" ht="12" x14ac:dyDescent="0.25">
      <c r="B104" s="44"/>
      <c r="C104" s="45"/>
      <c r="D104" s="126" t="str">
        <f t="shared" si="8"/>
        <v/>
      </c>
      <c r="E104" s="46"/>
      <c r="F104" s="212"/>
      <c r="G104" s="213"/>
      <c r="H104" s="151"/>
    </row>
    <row r="105" spans="2:8" s="43" customFormat="1" ht="12" x14ac:dyDescent="0.25">
      <c r="B105" s="44"/>
      <c r="C105" s="45"/>
      <c r="D105" s="126" t="str">
        <f t="shared" si="8"/>
        <v/>
      </c>
      <c r="E105" s="46"/>
      <c r="F105" s="212"/>
      <c r="G105" s="213"/>
      <c r="H105" s="151"/>
    </row>
    <row r="106" spans="2:8" s="43" customFormat="1" ht="12" x14ac:dyDescent="0.25">
      <c r="B106" s="44"/>
      <c r="C106" s="45"/>
      <c r="D106" s="126" t="str">
        <f t="shared" si="8"/>
        <v/>
      </c>
      <c r="E106" s="46"/>
      <c r="F106" s="212"/>
      <c r="G106" s="213"/>
      <c r="H106" s="151"/>
    </row>
    <row r="107" spans="2:8" s="43" customFormat="1" ht="12.45" thickBot="1" x14ac:dyDescent="0.3">
      <c r="B107" s="44"/>
      <c r="C107" s="47"/>
      <c r="D107" s="127" t="str">
        <f t="shared" si="8"/>
        <v/>
      </c>
      <c r="E107" s="48"/>
      <c r="F107" s="214"/>
      <c r="G107" s="215"/>
      <c r="H107" s="151"/>
    </row>
    <row r="108" spans="2:8" s="43" customFormat="1" ht="12.9" thickBot="1" x14ac:dyDescent="0.3">
      <c r="B108" s="86" t="s">
        <v>41</v>
      </c>
      <c r="C108" s="67">
        <f>SUM(C100:C107)</f>
        <v>48</v>
      </c>
      <c r="D108" s="86" t="str">
        <f xml:space="preserve"> setValueToTime(C108)</f>
        <v>4h</v>
      </c>
      <c r="E108" s="95"/>
      <c r="F108" s="216"/>
      <c r="G108" s="217"/>
      <c r="H108" s="151"/>
    </row>
    <row r="109" spans="2:8" s="43" customFormat="1" ht="11.6" thickBot="1" x14ac:dyDescent="0.3">
      <c r="B109" s="62"/>
      <c r="C109" s="62"/>
      <c r="D109" s="62"/>
      <c r="E109" s="62"/>
      <c r="F109" s="62"/>
      <c r="G109" s="62"/>
      <c r="H109" s="151"/>
    </row>
    <row r="110" spans="2:8" s="39" customFormat="1" ht="30" customHeight="1" thickBot="1" x14ac:dyDescent="0.3">
      <c r="B110" s="64" t="s">
        <v>34</v>
      </c>
      <c r="C110" s="135">
        <v>18</v>
      </c>
      <c r="D110" s="135"/>
      <c r="E110" s="65" t="s">
        <v>35</v>
      </c>
      <c r="F110" s="77">
        <v>46163</v>
      </c>
      <c r="G110" s="101" t="s">
        <v>48</v>
      </c>
      <c r="H110" s="150"/>
    </row>
    <row r="111" spans="2:8" s="39" customFormat="1" ht="30" customHeight="1" thickBot="1" x14ac:dyDescent="0.3">
      <c r="B111" s="63" t="s">
        <v>36</v>
      </c>
      <c r="C111" s="122" t="s">
        <v>37</v>
      </c>
      <c r="D111" s="123"/>
      <c r="E111" s="63" t="s">
        <v>38</v>
      </c>
      <c r="F111" s="218" t="s">
        <v>39</v>
      </c>
      <c r="G111" s="219"/>
      <c r="H111" s="150"/>
    </row>
    <row r="112" spans="2:8" s="43" customFormat="1" ht="12" x14ac:dyDescent="0.25">
      <c r="B112" s="40" t="s">
        <v>62</v>
      </c>
      <c r="C112" s="41">
        <v>24</v>
      </c>
      <c r="D112" s="124" t="str">
        <f xml:space="preserve"> IF(C112="","",setValueToTime(C112))</f>
        <v>2h</v>
      </c>
      <c r="E112" t="s">
        <v>115</v>
      </c>
      <c r="F112" s="220"/>
      <c r="G112" s="221"/>
      <c r="H112" s="151"/>
    </row>
    <row r="113" spans="2:8" s="43" customFormat="1" ht="12" x14ac:dyDescent="0.25">
      <c r="B113" s="44" t="s">
        <v>63</v>
      </c>
      <c r="C113" s="45">
        <v>14</v>
      </c>
      <c r="D113" s="125" t="str">
        <f t="shared" ref="D113:D119" si="9" xml:space="preserve"> IF(C113="","",setValueToTime(C113))</f>
        <v>1h 10 min</v>
      </c>
      <c r="E113" t="s">
        <v>114</v>
      </c>
      <c r="F113" s="212"/>
      <c r="G113" s="213"/>
      <c r="H113" s="151"/>
    </row>
    <row r="114" spans="2:8" s="43" customFormat="1" ht="12" x14ac:dyDescent="0.25">
      <c r="B114" s="44"/>
      <c r="C114" s="45"/>
      <c r="D114" s="125" t="str">
        <f t="shared" si="9"/>
        <v/>
      </c>
      <c r="E114" s="46"/>
      <c r="F114" s="212"/>
      <c r="G114" s="213"/>
      <c r="H114" s="151"/>
    </row>
    <row r="115" spans="2:8" s="43" customFormat="1" ht="12" x14ac:dyDescent="0.25">
      <c r="B115" s="44"/>
      <c r="C115" s="45"/>
      <c r="D115" s="125" t="str">
        <f t="shared" si="9"/>
        <v/>
      </c>
      <c r="E115" s="46"/>
      <c r="F115" s="212"/>
      <c r="G115" s="213"/>
      <c r="H115" s="151"/>
    </row>
    <row r="116" spans="2:8" s="43" customFormat="1" ht="12" x14ac:dyDescent="0.25">
      <c r="B116" s="44"/>
      <c r="C116" s="45"/>
      <c r="D116" s="126" t="str">
        <f t="shared" si="9"/>
        <v/>
      </c>
      <c r="E116" s="46"/>
      <c r="F116" s="212"/>
      <c r="G116" s="213"/>
      <c r="H116" s="151"/>
    </row>
    <row r="117" spans="2:8" s="43" customFormat="1" ht="12" x14ac:dyDescent="0.25">
      <c r="B117" s="44"/>
      <c r="C117" s="45"/>
      <c r="D117" s="126" t="str">
        <f t="shared" si="9"/>
        <v/>
      </c>
      <c r="E117" s="46"/>
      <c r="F117" s="212"/>
      <c r="G117" s="213"/>
      <c r="H117" s="151"/>
    </row>
    <row r="118" spans="2:8" s="43" customFormat="1" ht="12" x14ac:dyDescent="0.25">
      <c r="B118" s="44"/>
      <c r="C118" s="45"/>
      <c r="D118" s="126" t="str">
        <f t="shared" si="9"/>
        <v/>
      </c>
      <c r="E118" s="46"/>
      <c r="F118" s="212"/>
      <c r="G118" s="213"/>
      <c r="H118" s="151"/>
    </row>
    <row r="119" spans="2:8" s="43" customFormat="1" ht="12.45" thickBot="1" x14ac:dyDescent="0.3">
      <c r="B119" s="44"/>
      <c r="C119" s="47"/>
      <c r="D119" s="127" t="str">
        <f t="shared" si="9"/>
        <v/>
      </c>
      <c r="E119" s="48"/>
      <c r="F119" s="214"/>
      <c r="G119" s="215"/>
      <c r="H119" s="151"/>
    </row>
    <row r="120" spans="2:8" s="43" customFormat="1" ht="12.9" thickBot="1" x14ac:dyDescent="0.3">
      <c r="B120" s="86" t="s">
        <v>41</v>
      </c>
      <c r="C120" s="67">
        <f>SUM(C112:C119)</f>
        <v>38</v>
      </c>
      <c r="D120" s="86" t="str">
        <f xml:space="preserve"> setValueToTime(C120)</f>
        <v>3h 10 min</v>
      </c>
      <c r="E120" s="95"/>
      <c r="F120" s="216"/>
      <c r="G120" s="217"/>
      <c r="H120" s="151"/>
    </row>
    <row r="121" spans="2:8" s="43" customFormat="1" ht="11.6" thickBot="1" x14ac:dyDescent="0.3">
      <c r="B121" s="62"/>
      <c r="C121" s="62"/>
      <c r="D121" s="62"/>
      <c r="E121" s="62"/>
      <c r="F121" s="62"/>
      <c r="G121" s="62"/>
      <c r="H121" s="151"/>
    </row>
    <row r="122" spans="2:8" s="39" customFormat="1" ht="30" customHeight="1" thickBot="1" x14ac:dyDescent="0.3">
      <c r="B122" s="64" t="s">
        <v>34</v>
      </c>
      <c r="C122" s="135">
        <v>17</v>
      </c>
      <c r="D122" s="135"/>
      <c r="E122" s="65" t="s">
        <v>35</v>
      </c>
      <c r="F122" s="77">
        <v>46163</v>
      </c>
      <c r="G122" s="101" t="s">
        <v>47</v>
      </c>
      <c r="H122" s="150"/>
    </row>
    <row r="123" spans="2:8" s="39" customFormat="1" ht="30" customHeight="1" thickBot="1" x14ac:dyDescent="0.3">
      <c r="B123" s="63" t="s">
        <v>36</v>
      </c>
      <c r="C123" s="122" t="s">
        <v>37</v>
      </c>
      <c r="D123" s="123"/>
      <c r="E123" s="63" t="s">
        <v>38</v>
      </c>
      <c r="F123" s="218" t="s">
        <v>39</v>
      </c>
      <c r="G123" s="219"/>
      <c r="H123" s="150"/>
    </row>
    <row r="124" spans="2:8" s="43" customFormat="1" ht="12" x14ac:dyDescent="0.25">
      <c r="B124" s="40" t="s">
        <v>63</v>
      </c>
      <c r="C124" s="41">
        <v>20</v>
      </c>
      <c r="D124" s="124" t="str">
        <f xml:space="preserve"> IF(C124="","",setValueToTime(C124))</f>
        <v>1h 40 min</v>
      </c>
      <c r="E124" s="42" t="s">
        <v>113</v>
      </c>
      <c r="F124" s="220"/>
      <c r="G124" s="221"/>
      <c r="H124" s="151"/>
    </row>
    <row r="125" spans="2:8" s="43" customFormat="1" ht="12" x14ac:dyDescent="0.25">
      <c r="B125" s="44" t="s">
        <v>62</v>
      </c>
      <c r="C125" s="45">
        <v>28</v>
      </c>
      <c r="D125" s="125" t="str">
        <f t="shared" ref="D125:D131" si="10" xml:space="preserve"> IF(C125="","",setValueToTime(C125))</f>
        <v>2h 20 min</v>
      </c>
      <c r="E125" s="46" t="s">
        <v>112</v>
      </c>
      <c r="F125" s="212"/>
      <c r="G125" s="213"/>
      <c r="H125" s="151"/>
    </row>
    <row r="126" spans="2:8" s="43" customFormat="1" ht="12" x14ac:dyDescent="0.25">
      <c r="B126" s="44"/>
      <c r="C126" s="45"/>
      <c r="D126" s="125" t="str">
        <f t="shared" si="10"/>
        <v/>
      </c>
      <c r="E126" s="46"/>
      <c r="F126" s="212"/>
      <c r="G126" s="213"/>
      <c r="H126" s="151"/>
    </row>
    <row r="127" spans="2:8" s="43" customFormat="1" ht="12" x14ac:dyDescent="0.25">
      <c r="B127" s="44"/>
      <c r="C127" s="45"/>
      <c r="D127" s="125" t="str">
        <f t="shared" si="10"/>
        <v/>
      </c>
      <c r="E127" s="46"/>
      <c r="F127" s="212"/>
      <c r="G127" s="213"/>
      <c r="H127" s="151"/>
    </row>
    <row r="128" spans="2:8" s="43" customFormat="1" ht="12" x14ac:dyDescent="0.25">
      <c r="B128" s="44"/>
      <c r="C128" s="45"/>
      <c r="D128" s="126" t="str">
        <f t="shared" si="10"/>
        <v/>
      </c>
      <c r="E128" s="46"/>
      <c r="F128" s="212"/>
      <c r="G128" s="213"/>
      <c r="H128" s="151"/>
    </row>
    <row r="129" spans="2:8" s="43" customFormat="1" ht="12" x14ac:dyDescent="0.25">
      <c r="B129" s="44"/>
      <c r="C129" s="45"/>
      <c r="D129" s="126" t="str">
        <f t="shared" si="10"/>
        <v/>
      </c>
      <c r="E129" s="46"/>
      <c r="F129" s="212"/>
      <c r="G129" s="213"/>
      <c r="H129" s="151"/>
    </row>
    <row r="130" spans="2:8" s="43" customFormat="1" ht="12" x14ac:dyDescent="0.25">
      <c r="B130" s="44"/>
      <c r="C130" s="45"/>
      <c r="D130" s="126" t="str">
        <f t="shared" si="10"/>
        <v/>
      </c>
      <c r="E130" s="46"/>
      <c r="F130" s="212"/>
      <c r="G130" s="213"/>
      <c r="H130" s="151"/>
    </row>
    <row r="131" spans="2:8" s="43" customFormat="1" ht="12.45" thickBot="1" x14ac:dyDescent="0.3">
      <c r="B131" s="44"/>
      <c r="C131" s="47"/>
      <c r="D131" s="127" t="str">
        <f t="shared" si="10"/>
        <v/>
      </c>
      <c r="E131" s="48"/>
      <c r="F131" s="214"/>
      <c r="G131" s="215"/>
      <c r="H131" s="151"/>
    </row>
    <row r="132" spans="2:8" s="43" customFormat="1" ht="12.9" thickBot="1" x14ac:dyDescent="0.3">
      <c r="B132" s="86" t="s">
        <v>41</v>
      </c>
      <c r="C132" s="67">
        <f>SUM(C124:C131)</f>
        <v>48</v>
      </c>
      <c r="D132" s="86" t="str">
        <f xml:space="preserve"> setValueToTime(C132)</f>
        <v>4h</v>
      </c>
      <c r="E132" s="95"/>
      <c r="F132" s="216"/>
      <c r="G132" s="217"/>
      <c r="H132" s="151"/>
    </row>
    <row r="133" spans="2:8" s="43" customFormat="1" ht="11.6" thickBot="1" x14ac:dyDescent="0.3">
      <c r="B133" s="62"/>
      <c r="C133" s="62"/>
      <c r="D133" s="62"/>
      <c r="E133" s="62"/>
      <c r="F133" s="62"/>
      <c r="G133" s="62"/>
      <c r="H133" s="151"/>
    </row>
    <row r="134" spans="2:8" s="39" customFormat="1" ht="30" customHeight="1" thickBot="1" x14ac:dyDescent="0.3">
      <c r="B134" s="64" t="s">
        <v>34</v>
      </c>
      <c r="C134" s="135">
        <v>16</v>
      </c>
      <c r="D134" s="135"/>
      <c r="E134" s="65" t="s">
        <v>35</v>
      </c>
      <c r="F134" s="77">
        <v>46162</v>
      </c>
      <c r="G134" s="101" t="s">
        <v>48</v>
      </c>
      <c r="H134" s="150"/>
    </row>
    <row r="135" spans="2:8" s="39" customFormat="1" ht="30" customHeight="1" thickBot="1" x14ac:dyDescent="0.3">
      <c r="B135" s="63" t="s">
        <v>36</v>
      </c>
      <c r="C135" s="122" t="s">
        <v>37</v>
      </c>
      <c r="D135" s="123"/>
      <c r="E135" s="63" t="s">
        <v>38</v>
      </c>
      <c r="F135" s="218" t="s">
        <v>39</v>
      </c>
      <c r="G135" s="219"/>
      <c r="H135" s="150"/>
    </row>
    <row r="136" spans="2:8" s="43" customFormat="1" ht="24" x14ac:dyDescent="0.25">
      <c r="B136" s="40" t="s">
        <v>63</v>
      </c>
      <c r="C136" s="41">
        <v>12</v>
      </c>
      <c r="D136" s="124" t="str">
        <f xml:space="preserve"> IF(C136="","",setValueToTime(C136))</f>
        <v>1h</v>
      </c>
      <c r="E136" s="42" t="s">
        <v>111</v>
      </c>
      <c r="F136" s="220"/>
      <c r="G136" s="221"/>
      <c r="H136" s="151"/>
    </row>
    <row r="137" spans="2:8" s="43" customFormat="1" ht="12" x14ac:dyDescent="0.25">
      <c r="B137" s="44" t="s">
        <v>62</v>
      </c>
      <c r="C137" s="45">
        <v>22</v>
      </c>
      <c r="D137" s="125" t="str">
        <f t="shared" ref="D137:D143" si="11" xml:space="preserve"> IF(C137="","",setValueToTime(C137))</f>
        <v>1h 50 min</v>
      </c>
      <c r="E137" s="46" t="s">
        <v>110</v>
      </c>
      <c r="F137" s="212"/>
      <c r="G137" s="213"/>
      <c r="H137" s="151"/>
    </row>
    <row r="138" spans="2:8" s="43" customFormat="1" ht="12" x14ac:dyDescent="0.25">
      <c r="B138" s="44" t="s">
        <v>29</v>
      </c>
      <c r="C138" s="45">
        <v>2</v>
      </c>
      <c r="D138" s="125" t="str">
        <f t="shared" si="11"/>
        <v xml:space="preserve"> 10 min</v>
      </c>
      <c r="E138" s="46" t="s">
        <v>93</v>
      </c>
      <c r="F138" s="212"/>
      <c r="G138" s="213"/>
      <c r="H138" s="151"/>
    </row>
    <row r="139" spans="2:8" s="43" customFormat="1" ht="12" x14ac:dyDescent="0.25">
      <c r="B139" s="44" t="s">
        <v>30</v>
      </c>
      <c r="C139" s="45">
        <v>2</v>
      </c>
      <c r="D139" s="125" t="str">
        <f t="shared" si="11"/>
        <v xml:space="preserve"> 10 min</v>
      </c>
      <c r="E139" s="46" t="s">
        <v>94</v>
      </c>
      <c r="F139" s="212"/>
      <c r="G139" s="213"/>
      <c r="H139" s="151"/>
    </row>
    <row r="140" spans="2:8" s="43" customFormat="1" ht="12" x14ac:dyDescent="0.25">
      <c r="B140" s="44"/>
      <c r="C140" s="45"/>
      <c r="D140" s="126" t="str">
        <f t="shared" si="11"/>
        <v/>
      </c>
      <c r="E140" s="46"/>
      <c r="F140" s="212"/>
      <c r="G140" s="213"/>
      <c r="H140" s="151"/>
    </row>
    <row r="141" spans="2:8" s="43" customFormat="1" ht="12" x14ac:dyDescent="0.25">
      <c r="B141" s="44"/>
      <c r="C141" s="45"/>
      <c r="D141" s="126" t="str">
        <f t="shared" si="11"/>
        <v/>
      </c>
      <c r="E141" s="46"/>
      <c r="F141" s="212"/>
      <c r="G141" s="213"/>
      <c r="H141" s="151"/>
    </row>
    <row r="142" spans="2:8" s="43" customFormat="1" ht="12" x14ac:dyDescent="0.25">
      <c r="B142" s="44"/>
      <c r="C142" s="45"/>
      <c r="D142" s="126" t="str">
        <f t="shared" si="11"/>
        <v/>
      </c>
      <c r="E142" s="46"/>
      <c r="F142" s="212"/>
      <c r="G142" s="213"/>
      <c r="H142" s="151"/>
    </row>
    <row r="143" spans="2:8" s="43" customFormat="1" ht="12.45" thickBot="1" x14ac:dyDescent="0.3">
      <c r="B143" s="44"/>
      <c r="C143" s="47"/>
      <c r="D143" s="127" t="str">
        <f t="shared" si="11"/>
        <v/>
      </c>
      <c r="E143" s="48"/>
      <c r="F143" s="214"/>
      <c r="G143" s="215"/>
      <c r="H143" s="151"/>
    </row>
    <row r="144" spans="2:8" s="43" customFormat="1" ht="12.9" thickBot="1" x14ac:dyDescent="0.3">
      <c r="B144" s="86" t="s">
        <v>41</v>
      </c>
      <c r="C144" s="67">
        <f>SUM(C136:C143)</f>
        <v>38</v>
      </c>
      <c r="D144" s="86" t="str">
        <f xml:space="preserve"> setValueToTime(C144)</f>
        <v>3h 10 min</v>
      </c>
      <c r="E144" s="95"/>
      <c r="F144" s="216"/>
      <c r="G144" s="217"/>
      <c r="H144" s="151"/>
    </row>
    <row r="145" spans="2:8" s="43" customFormat="1" ht="11.6" thickBot="1" x14ac:dyDescent="0.3">
      <c r="B145" s="62"/>
      <c r="C145" s="62"/>
      <c r="D145" s="62"/>
      <c r="E145" s="62"/>
      <c r="F145" s="62"/>
      <c r="G145" s="62"/>
      <c r="H145" s="151"/>
    </row>
    <row r="146" spans="2:8" s="39" customFormat="1" ht="30" customHeight="1" thickBot="1" x14ac:dyDescent="0.3">
      <c r="B146" s="64" t="s">
        <v>34</v>
      </c>
      <c r="C146" s="135">
        <v>15</v>
      </c>
      <c r="D146" s="135"/>
      <c r="E146" s="65" t="s">
        <v>35</v>
      </c>
      <c r="F146" s="77">
        <v>46162</v>
      </c>
      <c r="G146" s="101" t="s">
        <v>47</v>
      </c>
      <c r="H146" s="150"/>
    </row>
    <row r="147" spans="2:8" s="39" customFormat="1" ht="30" customHeight="1" thickBot="1" x14ac:dyDescent="0.3">
      <c r="B147" s="63" t="s">
        <v>36</v>
      </c>
      <c r="C147" s="122" t="s">
        <v>37</v>
      </c>
      <c r="D147" s="123"/>
      <c r="E147" s="63" t="s">
        <v>38</v>
      </c>
      <c r="F147" s="218" t="s">
        <v>39</v>
      </c>
      <c r="G147" s="219"/>
      <c r="H147" s="150"/>
    </row>
    <row r="148" spans="2:8" s="43" customFormat="1" ht="12" x14ac:dyDescent="0.25">
      <c r="B148" s="40" t="s">
        <v>63</v>
      </c>
      <c r="C148" s="41">
        <v>20</v>
      </c>
      <c r="D148" s="124" t="str">
        <f xml:space="preserve"> IF(C148="","",setValueToTime(C148))</f>
        <v>1h 40 min</v>
      </c>
      <c r="E148" s="42" t="s">
        <v>109</v>
      </c>
      <c r="F148" s="220"/>
      <c r="G148" s="221"/>
      <c r="H148" s="151"/>
    </row>
    <row r="149" spans="2:8" s="43" customFormat="1" ht="24" x14ac:dyDescent="0.25">
      <c r="B149" s="44" t="s">
        <v>62</v>
      </c>
      <c r="C149" s="45">
        <v>28</v>
      </c>
      <c r="D149" s="125" t="str">
        <f t="shared" ref="D149:D155" si="12" xml:space="preserve"> IF(C149="","",setValueToTime(C149))</f>
        <v>2h 20 min</v>
      </c>
      <c r="E149" s="46" t="s">
        <v>108</v>
      </c>
      <c r="F149" s="212"/>
      <c r="G149" s="213"/>
      <c r="H149" s="151"/>
    </row>
    <row r="150" spans="2:8" s="43" customFormat="1" ht="12" x14ac:dyDescent="0.25">
      <c r="B150" s="44"/>
      <c r="C150" s="45"/>
      <c r="D150" s="125" t="str">
        <f t="shared" si="12"/>
        <v/>
      </c>
      <c r="E150" s="46"/>
      <c r="F150" s="212"/>
      <c r="G150" s="213"/>
      <c r="H150" s="151"/>
    </row>
    <row r="151" spans="2:8" s="43" customFormat="1" ht="12" x14ac:dyDescent="0.25">
      <c r="B151" s="44"/>
      <c r="C151" s="45"/>
      <c r="D151" s="125" t="str">
        <f t="shared" si="12"/>
        <v/>
      </c>
      <c r="E151" s="46"/>
      <c r="F151" s="212"/>
      <c r="G151" s="213"/>
      <c r="H151" s="151"/>
    </row>
    <row r="152" spans="2:8" s="43" customFormat="1" ht="12" x14ac:dyDescent="0.25">
      <c r="B152" s="44"/>
      <c r="C152" s="45"/>
      <c r="D152" s="126" t="str">
        <f t="shared" si="12"/>
        <v/>
      </c>
      <c r="E152" s="46"/>
      <c r="F152" s="212"/>
      <c r="G152" s="213"/>
      <c r="H152" s="151"/>
    </row>
    <row r="153" spans="2:8" s="43" customFormat="1" ht="12" x14ac:dyDescent="0.25">
      <c r="B153" s="44"/>
      <c r="C153" s="45"/>
      <c r="D153" s="126" t="str">
        <f t="shared" si="12"/>
        <v/>
      </c>
      <c r="E153" s="46"/>
      <c r="F153" s="212"/>
      <c r="G153" s="213"/>
      <c r="H153" s="151"/>
    </row>
    <row r="154" spans="2:8" s="43" customFormat="1" ht="12" x14ac:dyDescent="0.25">
      <c r="B154" s="44"/>
      <c r="C154" s="45"/>
      <c r="D154" s="126" t="str">
        <f t="shared" si="12"/>
        <v/>
      </c>
      <c r="E154" s="46"/>
      <c r="F154" s="212"/>
      <c r="G154" s="213"/>
      <c r="H154" s="151"/>
    </row>
    <row r="155" spans="2:8" s="43" customFormat="1" ht="12.45" thickBot="1" x14ac:dyDescent="0.3">
      <c r="B155" s="44"/>
      <c r="C155" s="47"/>
      <c r="D155" s="127" t="str">
        <f t="shared" si="12"/>
        <v/>
      </c>
      <c r="E155" s="48"/>
      <c r="F155" s="214"/>
      <c r="G155" s="215"/>
      <c r="H155" s="151"/>
    </row>
    <row r="156" spans="2:8" s="43" customFormat="1" ht="12.9" thickBot="1" x14ac:dyDescent="0.3">
      <c r="B156" s="86" t="s">
        <v>41</v>
      </c>
      <c r="C156" s="67">
        <f>SUM(C148:C155)</f>
        <v>48</v>
      </c>
      <c r="D156" s="86" t="str">
        <f xml:space="preserve"> setValueToTime(C156)</f>
        <v>4h</v>
      </c>
      <c r="E156" s="95"/>
      <c r="F156" s="216"/>
      <c r="G156" s="217"/>
      <c r="H156" s="151"/>
    </row>
    <row r="157" spans="2:8" s="43" customFormat="1" ht="11.6" thickBot="1" x14ac:dyDescent="0.3">
      <c r="B157" s="62"/>
      <c r="C157" s="62"/>
      <c r="D157" s="62"/>
      <c r="E157" s="62"/>
      <c r="F157" s="62"/>
      <c r="G157" s="62"/>
      <c r="H157" s="151"/>
    </row>
    <row r="158" spans="2:8" s="39" customFormat="1" ht="30" customHeight="1" thickBot="1" x14ac:dyDescent="0.3">
      <c r="B158" s="64" t="s">
        <v>34</v>
      </c>
      <c r="C158" s="135">
        <v>14</v>
      </c>
      <c r="D158" s="135"/>
      <c r="E158" s="65" t="s">
        <v>35</v>
      </c>
      <c r="F158" s="77">
        <v>46160</v>
      </c>
      <c r="G158" s="101" t="s">
        <v>48</v>
      </c>
      <c r="H158" s="150"/>
    </row>
    <row r="159" spans="2:8" s="39" customFormat="1" ht="30" customHeight="1" thickBot="1" x14ac:dyDescent="0.3">
      <c r="B159" s="63" t="s">
        <v>36</v>
      </c>
      <c r="C159" s="122" t="s">
        <v>37</v>
      </c>
      <c r="D159" s="123"/>
      <c r="E159" s="63" t="s">
        <v>38</v>
      </c>
      <c r="F159" s="218" t="s">
        <v>39</v>
      </c>
      <c r="G159" s="219"/>
      <c r="H159" s="150"/>
    </row>
    <row r="160" spans="2:8" s="43" customFormat="1" ht="24" x14ac:dyDescent="0.25">
      <c r="B160" s="40" t="s">
        <v>62</v>
      </c>
      <c r="C160" s="41">
        <v>29</v>
      </c>
      <c r="D160" s="124" t="str">
        <f xml:space="preserve"> IF(C160="","",setValueToTime(C160))</f>
        <v>2h 25 min</v>
      </c>
      <c r="E160" s="42" t="s">
        <v>107</v>
      </c>
      <c r="F160" s="220"/>
      <c r="G160" s="221"/>
      <c r="H160" s="151"/>
    </row>
    <row r="161" spans="2:8" s="43" customFormat="1" ht="12" x14ac:dyDescent="0.25">
      <c r="B161" s="44"/>
      <c r="C161" s="45"/>
      <c r="D161" s="125" t="str">
        <f t="shared" ref="D161:D167" si="13" xml:space="preserve"> IF(C161="","",setValueToTime(C161))</f>
        <v/>
      </c>
      <c r="E161" s="46"/>
      <c r="F161" s="212"/>
      <c r="G161" s="213"/>
      <c r="H161" s="151"/>
    </row>
    <row r="162" spans="2:8" s="43" customFormat="1" ht="12" x14ac:dyDescent="0.25">
      <c r="B162" s="44"/>
      <c r="C162" s="45"/>
      <c r="D162" s="125" t="str">
        <f t="shared" si="13"/>
        <v/>
      </c>
      <c r="E162" s="46"/>
      <c r="F162" s="212"/>
      <c r="G162" s="213"/>
      <c r="H162" s="151"/>
    </row>
    <row r="163" spans="2:8" s="43" customFormat="1" ht="12" x14ac:dyDescent="0.25">
      <c r="B163" s="44"/>
      <c r="C163" s="45"/>
      <c r="D163" s="125" t="str">
        <f t="shared" si="13"/>
        <v/>
      </c>
      <c r="E163" s="46"/>
      <c r="F163" s="212"/>
      <c r="G163" s="213"/>
      <c r="H163" s="151"/>
    </row>
    <row r="164" spans="2:8" s="43" customFormat="1" ht="12" x14ac:dyDescent="0.25">
      <c r="B164" s="44"/>
      <c r="C164" s="45"/>
      <c r="D164" s="126" t="str">
        <f t="shared" si="13"/>
        <v/>
      </c>
      <c r="E164" s="46"/>
      <c r="F164" s="212"/>
      <c r="G164" s="213"/>
      <c r="H164" s="151"/>
    </row>
    <row r="165" spans="2:8" s="43" customFormat="1" ht="12" x14ac:dyDescent="0.25">
      <c r="B165" s="44"/>
      <c r="C165" s="45"/>
      <c r="D165" s="126" t="str">
        <f t="shared" si="13"/>
        <v/>
      </c>
      <c r="E165" s="46"/>
      <c r="F165" s="212"/>
      <c r="G165" s="213"/>
      <c r="H165" s="151"/>
    </row>
    <row r="166" spans="2:8" s="43" customFormat="1" ht="12" x14ac:dyDescent="0.25">
      <c r="B166" s="44"/>
      <c r="C166" s="45"/>
      <c r="D166" s="126" t="str">
        <f t="shared" si="13"/>
        <v/>
      </c>
      <c r="E166" s="46"/>
      <c r="F166" s="212"/>
      <c r="G166" s="213"/>
      <c r="H166" s="151"/>
    </row>
    <row r="167" spans="2:8" s="43" customFormat="1" ht="12.45" thickBot="1" x14ac:dyDescent="0.3">
      <c r="B167" s="44"/>
      <c r="C167" s="47"/>
      <c r="D167" s="127" t="str">
        <f t="shared" si="13"/>
        <v/>
      </c>
      <c r="E167" s="48"/>
      <c r="F167" s="214"/>
      <c r="G167" s="215"/>
      <c r="H167" s="151"/>
    </row>
    <row r="168" spans="2:8" s="43" customFormat="1" ht="12.9" thickBot="1" x14ac:dyDescent="0.3">
      <c r="B168" s="86" t="s">
        <v>41</v>
      </c>
      <c r="C168" s="67">
        <f>SUM(C160:C167)</f>
        <v>29</v>
      </c>
      <c r="D168" s="86" t="str">
        <f xml:space="preserve"> setValueToTime(C168)</f>
        <v>2h 25 min</v>
      </c>
      <c r="E168" s="95"/>
      <c r="F168" s="216"/>
      <c r="G168" s="217"/>
      <c r="H168" s="151"/>
    </row>
    <row r="169" spans="2:8" s="43" customFormat="1" ht="11.6" thickBot="1" x14ac:dyDescent="0.3">
      <c r="B169" s="62"/>
      <c r="C169" s="62"/>
      <c r="D169" s="62"/>
      <c r="E169" s="62"/>
      <c r="F169" s="62"/>
      <c r="G169" s="62"/>
      <c r="H169" s="151"/>
    </row>
    <row r="170" spans="2:8" s="39" customFormat="1" ht="30" customHeight="1" thickBot="1" x14ac:dyDescent="0.3">
      <c r="B170" s="64" t="s">
        <v>34</v>
      </c>
      <c r="C170" s="135">
        <v>13</v>
      </c>
      <c r="D170" s="135"/>
      <c r="E170" s="65" t="s">
        <v>35</v>
      </c>
      <c r="F170" s="77">
        <v>46160</v>
      </c>
      <c r="G170" s="101" t="s">
        <v>47</v>
      </c>
      <c r="H170" s="150"/>
    </row>
    <row r="171" spans="2:8" s="39" customFormat="1" ht="30" customHeight="1" thickBot="1" x14ac:dyDescent="0.3">
      <c r="B171" s="63" t="s">
        <v>36</v>
      </c>
      <c r="C171" s="122" t="s">
        <v>37</v>
      </c>
      <c r="D171" s="123"/>
      <c r="E171" s="63" t="s">
        <v>38</v>
      </c>
      <c r="F171" s="218" t="s">
        <v>39</v>
      </c>
      <c r="G171" s="219"/>
      <c r="H171" s="150"/>
    </row>
    <row r="172" spans="2:8" s="43" customFormat="1" ht="12" x14ac:dyDescent="0.25">
      <c r="B172" s="40" t="s">
        <v>71</v>
      </c>
      <c r="C172" s="41">
        <v>8</v>
      </c>
      <c r="D172" s="124" t="str">
        <f xml:space="preserve"> IF(C172="","",setValueToTime(C172))</f>
        <v xml:space="preserve"> 40 min</v>
      </c>
      <c r="E172" s="42" t="s">
        <v>106</v>
      </c>
      <c r="F172" s="220"/>
      <c r="G172" s="221"/>
      <c r="H172" s="151"/>
    </row>
    <row r="173" spans="2:8" s="43" customFormat="1" ht="12" x14ac:dyDescent="0.25">
      <c r="B173" s="44" t="s">
        <v>60</v>
      </c>
      <c r="C173" s="45">
        <v>30</v>
      </c>
      <c r="D173" s="125" t="str">
        <f t="shared" ref="D173:D179" si="14" xml:space="preserve"> IF(C173="","",setValueToTime(C173))</f>
        <v>2h 30 min</v>
      </c>
      <c r="E173" s="46" t="s">
        <v>105</v>
      </c>
      <c r="F173" s="212"/>
      <c r="G173" s="213"/>
      <c r="H173" s="151"/>
    </row>
    <row r="174" spans="2:8" s="43" customFormat="1" ht="12" x14ac:dyDescent="0.25">
      <c r="B174" s="44"/>
      <c r="C174" s="45"/>
      <c r="D174" s="125" t="str">
        <f t="shared" si="14"/>
        <v/>
      </c>
      <c r="E174" s="46"/>
      <c r="F174" s="212"/>
      <c r="G174" s="213"/>
      <c r="H174" s="151"/>
    </row>
    <row r="175" spans="2:8" s="43" customFormat="1" ht="12" x14ac:dyDescent="0.25">
      <c r="B175" s="44"/>
      <c r="C175" s="45"/>
      <c r="D175" s="125" t="str">
        <f t="shared" si="14"/>
        <v/>
      </c>
      <c r="E175" s="46"/>
      <c r="F175" s="212"/>
      <c r="G175" s="213"/>
      <c r="H175" s="151"/>
    </row>
    <row r="176" spans="2:8" s="43" customFormat="1" ht="12" x14ac:dyDescent="0.25">
      <c r="B176" s="44"/>
      <c r="C176" s="45"/>
      <c r="D176" s="126" t="str">
        <f t="shared" si="14"/>
        <v/>
      </c>
      <c r="E176" s="46"/>
      <c r="F176" s="212"/>
      <c r="G176" s="213"/>
      <c r="H176" s="151"/>
    </row>
    <row r="177" spans="2:8" s="43" customFormat="1" ht="12" x14ac:dyDescent="0.25">
      <c r="B177" s="44"/>
      <c r="C177" s="45"/>
      <c r="D177" s="126" t="str">
        <f t="shared" si="14"/>
        <v/>
      </c>
      <c r="E177" s="46"/>
      <c r="F177" s="212"/>
      <c r="G177" s="213"/>
      <c r="H177" s="151"/>
    </row>
    <row r="178" spans="2:8" s="43" customFormat="1" ht="12" x14ac:dyDescent="0.25">
      <c r="B178" s="44"/>
      <c r="C178" s="45"/>
      <c r="D178" s="126" t="str">
        <f t="shared" si="14"/>
        <v/>
      </c>
      <c r="E178" s="46"/>
      <c r="F178" s="212"/>
      <c r="G178" s="213"/>
      <c r="H178" s="151"/>
    </row>
    <row r="179" spans="2:8" s="43" customFormat="1" ht="12.45" thickBot="1" x14ac:dyDescent="0.3">
      <c r="B179" s="44"/>
      <c r="C179" s="47"/>
      <c r="D179" s="127" t="str">
        <f t="shared" si="14"/>
        <v/>
      </c>
      <c r="E179" s="48"/>
      <c r="F179" s="214"/>
      <c r="G179" s="215"/>
      <c r="H179" s="151"/>
    </row>
    <row r="180" spans="2:8" s="43" customFormat="1" ht="12.9" thickBot="1" x14ac:dyDescent="0.3">
      <c r="B180" s="86" t="s">
        <v>41</v>
      </c>
      <c r="C180" s="67">
        <f>SUM(C172:C179)</f>
        <v>38</v>
      </c>
      <c r="D180" s="86" t="str">
        <f xml:space="preserve"> setValueToTime(C180)</f>
        <v>3h 10 min</v>
      </c>
      <c r="E180" s="95"/>
      <c r="F180" s="216"/>
      <c r="G180" s="217"/>
      <c r="H180" s="151"/>
    </row>
    <row r="181" spans="2:8" s="43" customFormat="1" ht="11.6" thickBot="1" x14ac:dyDescent="0.3">
      <c r="B181" s="62"/>
      <c r="C181" s="62"/>
      <c r="D181" s="62"/>
      <c r="E181" s="62"/>
      <c r="F181" s="62"/>
      <c r="G181" s="62"/>
      <c r="H181" s="151"/>
    </row>
    <row r="182" spans="2:8" s="39" customFormat="1" ht="30" customHeight="1" thickBot="1" x14ac:dyDescent="0.3">
      <c r="B182" s="64" t="s">
        <v>34</v>
      </c>
      <c r="C182" s="135">
        <v>12</v>
      </c>
      <c r="D182" s="135"/>
      <c r="E182" s="65" t="s">
        <v>35</v>
      </c>
      <c r="F182" s="77">
        <v>46155</v>
      </c>
      <c r="G182" s="101" t="s">
        <v>48</v>
      </c>
      <c r="H182" s="150"/>
    </row>
    <row r="183" spans="2:8" s="39" customFormat="1" ht="30" customHeight="1" thickBot="1" x14ac:dyDescent="0.3">
      <c r="B183" s="63" t="s">
        <v>36</v>
      </c>
      <c r="C183" s="122" t="s">
        <v>37</v>
      </c>
      <c r="D183" s="123"/>
      <c r="E183" s="63" t="s">
        <v>38</v>
      </c>
      <c r="F183" s="218" t="s">
        <v>39</v>
      </c>
      <c r="G183" s="219"/>
      <c r="H183" s="150"/>
    </row>
    <row r="184" spans="2:8" s="43" customFormat="1" ht="12" x14ac:dyDescent="0.25">
      <c r="B184" s="40" t="s">
        <v>98</v>
      </c>
      <c r="C184" s="41">
        <v>18</v>
      </c>
      <c r="D184" s="124" t="str">
        <f xml:space="preserve"> IF(C184="","",setValueToTime(C184))</f>
        <v>1h 30 min</v>
      </c>
      <c r="E184" t="s">
        <v>266</v>
      </c>
      <c r="F184" s="220"/>
      <c r="G184" s="221"/>
      <c r="H184" s="151"/>
    </row>
    <row r="185" spans="2:8" s="43" customFormat="1" ht="37.5" customHeight="1" x14ac:dyDescent="0.25">
      <c r="B185" s="44" t="s">
        <v>61</v>
      </c>
      <c r="C185" s="45">
        <v>14</v>
      </c>
      <c r="D185" s="125" t="str">
        <f t="shared" ref="D185:D191" si="15" xml:space="preserve"> IF(C185="","",setValueToTime(C185))</f>
        <v>1h 10 min</v>
      </c>
      <c r="E185" t="s">
        <v>104</v>
      </c>
      <c r="F185" s="212"/>
      <c r="G185" s="213"/>
      <c r="H185" s="151"/>
    </row>
    <row r="186" spans="2:8" s="43" customFormat="1" ht="12" x14ac:dyDescent="0.25">
      <c r="B186" s="44" t="s">
        <v>29</v>
      </c>
      <c r="C186" s="45">
        <v>3</v>
      </c>
      <c r="D186" s="125" t="str">
        <f t="shared" si="15"/>
        <v xml:space="preserve"> 15 min</v>
      </c>
      <c r="E186" s="46" t="s">
        <v>93</v>
      </c>
      <c r="F186" s="212"/>
      <c r="G186" s="213"/>
      <c r="H186" s="151"/>
    </row>
    <row r="187" spans="2:8" s="43" customFormat="1" ht="12" x14ac:dyDescent="0.25">
      <c r="B187" s="44" t="s">
        <v>30</v>
      </c>
      <c r="C187" s="45">
        <v>3</v>
      </c>
      <c r="D187" s="125" t="str">
        <f t="shared" si="15"/>
        <v xml:space="preserve"> 15 min</v>
      </c>
      <c r="E187" s="46" t="s">
        <v>94</v>
      </c>
      <c r="F187" s="212"/>
      <c r="G187" s="213"/>
      <c r="H187" s="151"/>
    </row>
    <row r="188" spans="2:8" s="43" customFormat="1" ht="12" x14ac:dyDescent="0.25">
      <c r="B188" s="44"/>
      <c r="C188" s="45"/>
      <c r="D188" s="126" t="str">
        <f t="shared" si="15"/>
        <v/>
      </c>
      <c r="E188" s="46"/>
      <c r="F188" s="212"/>
      <c r="G188" s="213"/>
      <c r="H188" s="151"/>
    </row>
    <row r="189" spans="2:8" s="43" customFormat="1" ht="12" x14ac:dyDescent="0.25">
      <c r="B189" s="44"/>
      <c r="C189" s="45"/>
      <c r="D189" s="126" t="str">
        <f t="shared" si="15"/>
        <v/>
      </c>
      <c r="E189" s="46"/>
      <c r="F189" s="212"/>
      <c r="G189" s="213"/>
      <c r="H189" s="151"/>
    </row>
    <row r="190" spans="2:8" s="43" customFormat="1" ht="12" x14ac:dyDescent="0.25">
      <c r="B190" s="44"/>
      <c r="C190" s="45"/>
      <c r="D190" s="126" t="str">
        <f t="shared" si="15"/>
        <v/>
      </c>
      <c r="E190" s="46"/>
      <c r="F190" s="212"/>
      <c r="G190" s="213"/>
      <c r="H190" s="151"/>
    </row>
    <row r="191" spans="2:8" s="43" customFormat="1" ht="12.45" thickBot="1" x14ac:dyDescent="0.3">
      <c r="B191" s="44"/>
      <c r="C191" s="47"/>
      <c r="D191" s="127" t="str">
        <f t="shared" si="15"/>
        <v/>
      </c>
      <c r="E191" s="48"/>
      <c r="F191" s="214"/>
      <c r="G191" s="215"/>
      <c r="H191" s="151"/>
    </row>
    <row r="192" spans="2:8" s="43" customFormat="1" ht="12.9" thickBot="1" x14ac:dyDescent="0.3">
      <c r="B192" s="86" t="s">
        <v>41</v>
      </c>
      <c r="C192" s="67">
        <f>SUM(C184:C191)</f>
        <v>38</v>
      </c>
      <c r="D192" s="86" t="str">
        <f xml:space="preserve"> setValueToTime(C192)</f>
        <v>3h 10 min</v>
      </c>
      <c r="E192" s="95"/>
      <c r="F192" s="216"/>
      <c r="G192" s="217"/>
      <c r="H192" s="151"/>
    </row>
    <row r="193" spans="2:8" s="43" customFormat="1" ht="11.6" thickBot="1" x14ac:dyDescent="0.3">
      <c r="B193" s="62"/>
      <c r="C193" s="62"/>
      <c r="D193" s="62"/>
      <c r="E193" s="62"/>
      <c r="F193" s="62"/>
      <c r="G193" s="62"/>
      <c r="H193" s="151"/>
    </row>
    <row r="194" spans="2:8" s="39" customFormat="1" ht="30" customHeight="1" thickBot="1" x14ac:dyDescent="0.3">
      <c r="B194" s="64" t="s">
        <v>34</v>
      </c>
      <c r="C194" s="135">
        <v>11</v>
      </c>
      <c r="D194" s="135"/>
      <c r="E194" s="65" t="s">
        <v>35</v>
      </c>
      <c r="F194" s="77">
        <v>46155</v>
      </c>
      <c r="G194" s="101" t="s">
        <v>47</v>
      </c>
      <c r="H194" s="150"/>
    </row>
    <row r="195" spans="2:8" s="39" customFormat="1" ht="30" customHeight="1" thickBot="1" x14ac:dyDescent="0.3">
      <c r="B195" s="63" t="s">
        <v>36</v>
      </c>
      <c r="C195" s="122" t="s">
        <v>37</v>
      </c>
      <c r="D195" s="123"/>
      <c r="E195" s="63" t="s">
        <v>38</v>
      </c>
      <c r="F195" s="218" t="s">
        <v>39</v>
      </c>
      <c r="G195" s="219"/>
      <c r="H195" s="150"/>
    </row>
    <row r="196" spans="2:8" s="43" customFormat="1" ht="24" x14ac:dyDescent="0.25">
      <c r="B196" s="40" t="s">
        <v>60</v>
      </c>
      <c r="C196" s="41">
        <v>36</v>
      </c>
      <c r="D196" s="124" t="str">
        <f xml:space="preserve"> IF(C196="","",setValueToTime(C196))</f>
        <v>3h</v>
      </c>
      <c r="E196" s="42" t="s">
        <v>103</v>
      </c>
      <c r="F196" s="220"/>
      <c r="G196" s="221"/>
      <c r="H196" s="151"/>
    </row>
    <row r="197" spans="2:8" s="43" customFormat="1" ht="12" x14ac:dyDescent="0.25">
      <c r="B197" s="44" t="s">
        <v>98</v>
      </c>
      <c r="C197" s="45">
        <v>12</v>
      </c>
      <c r="D197" s="125" t="str">
        <f t="shared" ref="D197:D203" si="16" xml:space="preserve"> IF(C197="","",setValueToTime(C197))</f>
        <v>1h</v>
      </c>
      <c r="E197" t="s">
        <v>267</v>
      </c>
      <c r="F197" s="212"/>
      <c r="G197" s="213"/>
      <c r="H197" s="151"/>
    </row>
    <row r="198" spans="2:8" s="43" customFormat="1" ht="12" x14ac:dyDescent="0.25">
      <c r="B198" s="44"/>
      <c r="C198" s="45"/>
      <c r="D198" s="125" t="str">
        <f t="shared" si="16"/>
        <v/>
      </c>
      <c r="E198" s="46"/>
      <c r="F198" s="212"/>
      <c r="G198" s="213"/>
      <c r="H198" s="151"/>
    </row>
    <row r="199" spans="2:8" s="43" customFormat="1" ht="12" x14ac:dyDescent="0.25">
      <c r="B199" s="44"/>
      <c r="C199" s="45"/>
      <c r="D199" s="125" t="str">
        <f t="shared" si="16"/>
        <v/>
      </c>
      <c r="E199" s="46"/>
      <c r="F199" s="212"/>
      <c r="G199" s="213"/>
      <c r="H199" s="151"/>
    </row>
    <row r="200" spans="2:8" s="43" customFormat="1" ht="12" x14ac:dyDescent="0.25">
      <c r="B200" s="44"/>
      <c r="C200" s="45"/>
      <c r="D200" s="126" t="str">
        <f t="shared" si="16"/>
        <v/>
      </c>
      <c r="E200" s="46"/>
      <c r="F200" s="212"/>
      <c r="G200" s="213"/>
      <c r="H200" s="151"/>
    </row>
    <row r="201" spans="2:8" s="43" customFormat="1" ht="12" x14ac:dyDescent="0.25">
      <c r="B201" s="44"/>
      <c r="C201" s="45"/>
      <c r="D201" s="126" t="str">
        <f t="shared" si="16"/>
        <v/>
      </c>
      <c r="E201" s="46"/>
      <c r="F201" s="212"/>
      <c r="G201" s="213"/>
      <c r="H201" s="151"/>
    </row>
    <row r="202" spans="2:8" s="43" customFormat="1" ht="12" x14ac:dyDescent="0.25">
      <c r="B202" s="44"/>
      <c r="C202" s="45"/>
      <c r="D202" s="126" t="str">
        <f t="shared" si="16"/>
        <v/>
      </c>
      <c r="E202" s="46"/>
      <c r="F202" s="212"/>
      <c r="G202" s="213"/>
      <c r="H202" s="151"/>
    </row>
    <row r="203" spans="2:8" s="43" customFormat="1" ht="12.45" thickBot="1" x14ac:dyDescent="0.3">
      <c r="B203" s="44"/>
      <c r="C203" s="47"/>
      <c r="D203" s="127" t="str">
        <f t="shared" si="16"/>
        <v/>
      </c>
      <c r="E203" s="48"/>
      <c r="F203" s="214"/>
      <c r="G203" s="215"/>
      <c r="H203" s="151"/>
    </row>
    <row r="204" spans="2:8" s="43" customFormat="1" ht="12.9" thickBot="1" x14ac:dyDescent="0.3">
      <c r="B204" s="86" t="s">
        <v>41</v>
      </c>
      <c r="C204" s="67">
        <f>SUM(C196:C203)</f>
        <v>48</v>
      </c>
      <c r="D204" s="86" t="str">
        <f xml:space="preserve"> setValueToTime(C204)</f>
        <v>4h</v>
      </c>
      <c r="E204" s="95"/>
      <c r="F204" s="216"/>
      <c r="G204" s="217"/>
      <c r="H204" s="151"/>
    </row>
    <row r="205" spans="2:8" s="43" customFormat="1" ht="11.6" thickBot="1" x14ac:dyDescent="0.3">
      <c r="B205" s="62"/>
      <c r="C205" s="62"/>
      <c r="D205" s="62"/>
      <c r="E205" s="62"/>
      <c r="F205" s="62"/>
      <c r="G205" s="62"/>
      <c r="H205" s="151"/>
    </row>
    <row r="206" spans="2:8" s="39" customFormat="1" ht="30" customHeight="1" thickBot="1" x14ac:dyDescent="0.3">
      <c r="B206" s="64" t="s">
        <v>34</v>
      </c>
      <c r="C206" s="135">
        <v>10</v>
      </c>
      <c r="D206" s="135"/>
      <c r="E206" s="65" t="s">
        <v>35</v>
      </c>
      <c r="F206" s="77">
        <v>46153</v>
      </c>
      <c r="G206" s="101" t="s">
        <v>48</v>
      </c>
      <c r="H206" s="150"/>
    </row>
    <row r="207" spans="2:8" s="39" customFormat="1" ht="30" customHeight="1" thickBot="1" x14ac:dyDescent="0.3">
      <c r="B207" s="63" t="s">
        <v>36</v>
      </c>
      <c r="C207" s="122" t="s">
        <v>37</v>
      </c>
      <c r="D207" s="123"/>
      <c r="E207" s="63" t="s">
        <v>38</v>
      </c>
      <c r="F207" s="218" t="s">
        <v>39</v>
      </c>
      <c r="G207" s="219"/>
      <c r="H207" s="150"/>
    </row>
    <row r="208" spans="2:8" s="43" customFormat="1" ht="12" x14ac:dyDescent="0.25">
      <c r="B208" s="40" t="s">
        <v>71</v>
      </c>
      <c r="C208" s="41">
        <v>8</v>
      </c>
      <c r="D208" s="124" t="str">
        <f xml:space="preserve"> IF(C208="","",setValueToTime(C208))</f>
        <v xml:space="preserve"> 40 min</v>
      </c>
      <c r="E208" s="42" t="s">
        <v>100</v>
      </c>
      <c r="F208" s="220"/>
      <c r="G208" s="221"/>
      <c r="H208" s="151"/>
    </row>
    <row r="209" spans="2:8" s="43" customFormat="1" ht="12" x14ac:dyDescent="0.25">
      <c r="B209" s="44" t="s">
        <v>31</v>
      </c>
      <c r="C209" s="45">
        <v>21</v>
      </c>
      <c r="D209" s="125" t="str">
        <f t="shared" ref="D209:D215" si="17" xml:space="preserve"> IF(C209="","",setValueToTime(C209))</f>
        <v>1h 45 min</v>
      </c>
      <c r="E209" t="s">
        <v>268</v>
      </c>
      <c r="F209" s="212"/>
      <c r="G209" s="213"/>
      <c r="H209" s="151"/>
    </row>
    <row r="210" spans="2:8" s="43" customFormat="1" ht="12" x14ac:dyDescent="0.25">
      <c r="B210" s="44"/>
      <c r="C210" s="45"/>
      <c r="D210" s="125" t="str">
        <f t="shared" si="17"/>
        <v/>
      </c>
      <c r="E210" s="46"/>
      <c r="F210" s="212"/>
      <c r="G210" s="213"/>
      <c r="H210" s="151"/>
    </row>
    <row r="211" spans="2:8" s="43" customFormat="1" ht="12" x14ac:dyDescent="0.25">
      <c r="B211" s="44"/>
      <c r="C211" s="45"/>
      <c r="D211" s="125" t="str">
        <f t="shared" si="17"/>
        <v/>
      </c>
      <c r="E211" s="46"/>
      <c r="F211" s="212"/>
      <c r="G211" s="213"/>
      <c r="H211" s="151"/>
    </row>
    <row r="212" spans="2:8" s="43" customFormat="1" ht="12" x14ac:dyDescent="0.25">
      <c r="B212" s="44"/>
      <c r="C212" s="45"/>
      <c r="D212" s="126" t="str">
        <f t="shared" si="17"/>
        <v/>
      </c>
      <c r="E212" s="46"/>
      <c r="F212" s="212"/>
      <c r="G212" s="213"/>
      <c r="H212" s="151"/>
    </row>
    <row r="213" spans="2:8" s="43" customFormat="1" ht="12" x14ac:dyDescent="0.25">
      <c r="B213" s="44"/>
      <c r="C213" s="45"/>
      <c r="D213" s="126" t="str">
        <f t="shared" si="17"/>
        <v/>
      </c>
      <c r="E213" s="46"/>
      <c r="F213" s="212"/>
      <c r="G213" s="213"/>
      <c r="H213" s="151"/>
    </row>
    <row r="214" spans="2:8" s="43" customFormat="1" ht="12" x14ac:dyDescent="0.25">
      <c r="B214" s="44"/>
      <c r="C214" s="45"/>
      <c r="D214" s="126" t="str">
        <f t="shared" si="17"/>
        <v/>
      </c>
      <c r="E214" s="46"/>
      <c r="F214" s="212"/>
      <c r="G214" s="213"/>
      <c r="H214" s="151"/>
    </row>
    <row r="215" spans="2:8" s="43" customFormat="1" ht="12.45" thickBot="1" x14ac:dyDescent="0.3">
      <c r="B215" s="44"/>
      <c r="C215" s="47"/>
      <c r="D215" s="127" t="str">
        <f t="shared" si="17"/>
        <v/>
      </c>
      <c r="E215" s="48"/>
      <c r="F215" s="214"/>
      <c r="G215" s="215"/>
      <c r="H215" s="151"/>
    </row>
    <row r="216" spans="2:8" s="43" customFormat="1" ht="12.9" thickBot="1" x14ac:dyDescent="0.3">
      <c r="B216" s="86" t="s">
        <v>41</v>
      </c>
      <c r="C216" s="67">
        <f>SUM(C208:C215)</f>
        <v>29</v>
      </c>
      <c r="D216" s="86" t="str">
        <f xml:space="preserve"> setValueToTime(C216)</f>
        <v>2h 25 min</v>
      </c>
      <c r="E216" s="95"/>
      <c r="F216" s="216"/>
      <c r="G216" s="217"/>
      <c r="H216" s="151"/>
    </row>
    <row r="217" spans="2:8" s="43" customFormat="1" ht="11.6" thickBot="1" x14ac:dyDescent="0.3">
      <c r="B217" s="62"/>
      <c r="C217" s="62"/>
      <c r="D217" s="62"/>
      <c r="E217" s="62"/>
      <c r="F217" s="62"/>
      <c r="G217" s="62"/>
      <c r="H217" s="151"/>
    </row>
    <row r="218" spans="2:8" s="39" customFormat="1" ht="30" customHeight="1" thickBot="1" x14ac:dyDescent="0.3">
      <c r="B218" s="64" t="s">
        <v>34</v>
      </c>
      <c r="C218" s="135">
        <v>9</v>
      </c>
      <c r="D218" s="135"/>
      <c r="E218" s="65" t="s">
        <v>35</v>
      </c>
      <c r="F218" s="77">
        <v>46153</v>
      </c>
      <c r="G218" s="101" t="s">
        <v>47</v>
      </c>
      <c r="H218" s="150"/>
    </row>
    <row r="219" spans="2:8" s="39" customFormat="1" ht="30" customHeight="1" thickBot="1" x14ac:dyDescent="0.3">
      <c r="B219" s="63" t="s">
        <v>36</v>
      </c>
      <c r="C219" s="122" t="s">
        <v>37</v>
      </c>
      <c r="D219" s="123"/>
      <c r="E219" s="63" t="s">
        <v>38</v>
      </c>
      <c r="F219" s="218" t="s">
        <v>39</v>
      </c>
      <c r="G219" s="219"/>
      <c r="H219" s="150"/>
    </row>
    <row r="220" spans="2:8" s="43" customFormat="1" ht="12" x14ac:dyDescent="0.25">
      <c r="B220" s="40" t="s">
        <v>71</v>
      </c>
      <c r="C220" s="41">
        <v>8</v>
      </c>
      <c r="D220" s="124" t="str">
        <f xml:space="preserve"> IF(C220="","",setValueToTime(C220))</f>
        <v xml:space="preserve"> 40 min</v>
      </c>
      <c r="E220" s="42" t="s">
        <v>101</v>
      </c>
      <c r="F220" s="220"/>
      <c r="G220" s="221"/>
      <c r="H220" s="151"/>
    </row>
    <row r="221" spans="2:8" s="43" customFormat="1" ht="12" x14ac:dyDescent="0.25">
      <c r="B221" s="44" t="s">
        <v>98</v>
      </c>
      <c r="C221" s="45">
        <v>30</v>
      </c>
      <c r="D221" s="125" t="str">
        <f t="shared" ref="D221:D227" si="18" xml:space="preserve"> IF(C221="","",setValueToTime(C221))</f>
        <v>2h 30 min</v>
      </c>
      <c r="E221" s="46" t="s">
        <v>99</v>
      </c>
      <c r="F221" s="212"/>
      <c r="G221" s="213"/>
      <c r="H221" s="151"/>
    </row>
    <row r="222" spans="2:8" s="43" customFormat="1" ht="12" x14ac:dyDescent="0.25">
      <c r="B222" s="44"/>
      <c r="C222" s="45"/>
      <c r="D222" s="125" t="str">
        <f t="shared" si="18"/>
        <v/>
      </c>
      <c r="E222" s="46"/>
      <c r="F222" s="212"/>
      <c r="G222" s="213"/>
      <c r="H222" s="151"/>
    </row>
    <row r="223" spans="2:8" s="43" customFormat="1" ht="12" x14ac:dyDescent="0.25">
      <c r="B223" s="44"/>
      <c r="C223" s="45"/>
      <c r="D223" s="125" t="str">
        <f t="shared" si="18"/>
        <v/>
      </c>
      <c r="E223" s="46"/>
      <c r="F223" s="212"/>
      <c r="G223" s="213"/>
      <c r="H223" s="151"/>
    </row>
    <row r="224" spans="2:8" s="43" customFormat="1" ht="12" x14ac:dyDescent="0.25">
      <c r="B224" s="44"/>
      <c r="C224" s="45"/>
      <c r="D224" s="126" t="str">
        <f t="shared" si="18"/>
        <v/>
      </c>
      <c r="E224" s="46"/>
      <c r="F224" s="212"/>
      <c r="G224" s="213"/>
      <c r="H224" s="151"/>
    </row>
    <row r="225" spans="2:8" s="43" customFormat="1" ht="12" x14ac:dyDescent="0.25">
      <c r="B225" s="44"/>
      <c r="C225" s="45"/>
      <c r="D225" s="126" t="str">
        <f t="shared" si="18"/>
        <v/>
      </c>
      <c r="E225" s="46"/>
      <c r="F225" s="212"/>
      <c r="G225" s="213"/>
      <c r="H225" s="151"/>
    </row>
    <row r="226" spans="2:8" s="43" customFormat="1" ht="12" x14ac:dyDescent="0.25">
      <c r="B226" s="44"/>
      <c r="C226" s="45"/>
      <c r="D226" s="126" t="str">
        <f t="shared" si="18"/>
        <v/>
      </c>
      <c r="E226" s="46"/>
      <c r="F226" s="212"/>
      <c r="G226" s="213"/>
      <c r="H226" s="151"/>
    </row>
    <row r="227" spans="2:8" s="43" customFormat="1" ht="12.45" thickBot="1" x14ac:dyDescent="0.3">
      <c r="B227" s="44"/>
      <c r="C227" s="47"/>
      <c r="D227" s="127" t="str">
        <f t="shared" si="18"/>
        <v/>
      </c>
      <c r="E227" s="48"/>
      <c r="F227" s="214"/>
      <c r="G227" s="215"/>
      <c r="H227" s="151"/>
    </row>
    <row r="228" spans="2:8" s="43" customFormat="1" ht="12.9" thickBot="1" x14ac:dyDescent="0.3">
      <c r="B228" s="86" t="s">
        <v>41</v>
      </c>
      <c r="C228" s="67">
        <f>SUM(C220:C227)</f>
        <v>38</v>
      </c>
      <c r="D228" s="86" t="str">
        <f xml:space="preserve"> setValueToTime(C228)</f>
        <v>3h 10 min</v>
      </c>
      <c r="E228" s="95"/>
      <c r="F228" s="216"/>
      <c r="G228" s="217"/>
      <c r="H228" s="151"/>
    </row>
    <row r="229" spans="2:8" s="43" customFormat="1" ht="11.6" thickBot="1" x14ac:dyDescent="0.3">
      <c r="B229" s="62"/>
      <c r="C229" s="62"/>
      <c r="D229" s="62"/>
      <c r="E229" s="62"/>
      <c r="F229" s="62"/>
      <c r="G229" s="62"/>
      <c r="H229" s="151"/>
    </row>
    <row r="230" spans="2:8" s="39" customFormat="1" ht="30" customHeight="1" thickBot="1" x14ac:dyDescent="0.3">
      <c r="B230" s="64" t="s">
        <v>34</v>
      </c>
      <c r="C230" s="135">
        <v>8</v>
      </c>
      <c r="D230" s="135"/>
      <c r="E230" s="65" t="s">
        <v>35</v>
      </c>
      <c r="F230" s="77">
        <v>46150</v>
      </c>
      <c r="G230" s="101" t="s">
        <v>48</v>
      </c>
      <c r="H230" s="150"/>
    </row>
    <row r="231" spans="2:8" s="39" customFormat="1" ht="30" customHeight="1" thickBot="1" x14ac:dyDescent="0.3">
      <c r="B231" s="63" t="s">
        <v>36</v>
      </c>
      <c r="C231" s="122" t="s">
        <v>37</v>
      </c>
      <c r="D231" s="123"/>
      <c r="E231" s="63" t="s">
        <v>38</v>
      </c>
      <c r="F231" s="218" t="s">
        <v>39</v>
      </c>
      <c r="G231" s="219"/>
      <c r="H231" s="150"/>
    </row>
    <row r="232" spans="2:8" s="43" customFormat="1" ht="12" x14ac:dyDescent="0.25">
      <c r="B232" s="40" t="s">
        <v>57</v>
      </c>
      <c r="C232" s="41">
        <v>6</v>
      </c>
      <c r="D232" s="124" t="str">
        <f xml:space="preserve"> IF(C232="","",setValueToTime(C232))</f>
        <v xml:space="preserve"> 30 min</v>
      </c>
      <c r="E232" s="42" t="s">
        <v>97</v>
      </c>
      <c r="F232" s="220"/>
      <c r="G232" s="221"/>
      <c r="H232" s="151"/>
    </row>
    <row r="233" spans="2:8" s="43" customFormat="1" ht="12" x14ac:dyDescent="0.25">
      <c r="B233" s="44" t="s">
        <v>59</v>
      </c>
      <c r="C233" s="45">
        <v>14</v>
      </c>
      <c r="D233" s="125" t="str">
        <f t="shared" ref="D233:D239" si="19" xml:space="preserve"> IF(C233="","",setValueToTime(C233))</f>
        <v>1h 10 min</v>
      </c>
      <c r="E233" s="46" t="s">
        <v>95</v>
      </c>
      <c r="F233" s="212"/>
      <c r="G233" s="213"/>
      <c r="H233" s="151"/>
    </row>
    <row r="234" spans="2:8" s="43" customFormat="1" ht="12" x14ac:dyDescent="0.25">
      <c r="B234" s="44" t="s">
        <v>58</v>
      </c>
      <c r="C234" s="45">
        <v>11</v>
      </c>
      <c r="D234" s="125" t="str">
        <f t="shared" si="19"/>
        <v xml:space="preserve"> 55 min</v>
      </c>
      <c r="E234" s="46" t="s">
        <v>96</v>
      </c>
      <c r="F234" s="212"/>
      <c r="G234" s="213"/>
      <c r="H234" s="151"/>
    </row>
    <row r="235" spans="2:8" s="43" customFormat="1" ht="12" x14ac:dyDescent="0.25">
      <c r="B235" s="44" t="s">
        <v>30</v>
      </c>
      <c r="C235" s="45">
        <v>2</v>
      </c>
      <c r="D235" s="125" t="str">
        <f t="shared" si="19"/>
        <v xml:space="preserve"> 10 min</v>
      </c>
      <c r="E235" s="46" t="s">
        <v>94</v>
      </c>
      <c r="F235" s="212"/>
      <c r="G235" s="213"/>
      <c r="H235" s="151"/>
    </row>
    <row r="236" spans="2:8" s="43" customFormat="1" ht="12" x14ac:dyDescent="0.25">
      <c r="B236" s="44" t="s">
        <v>29</v>
      </c>
      <c r="C236" s="45">
        <v>2</v>
      </c>
      <c r="D236" s="126" t="str">
        <f t="shared" si="19"/>
        <v xml:space="preserve"> 10 min</v>
      </c>
      <c r="E236" s="46" t="s">
        <v>93</v>
      </c>
      <c r="F236" s="212"/>
      <c r="G236" s="213"/>
      <c r="H236" s="151"/>
    </row>
    <row r="237" spans="2:8" s="43" customFormat="1" ht="12" x14ac:dyDescent="0.25">
      <c r="B237" s="44" t="s">
        <v>73</v>
      </c>
      <c r="C237" s="45">
        <v>3</v>
      </c>
      <c r="D237" s="126" t="str">
        <f t="shared" si="19"/>
        <v xml:space="preserve"> 15 min</v>
      </c>
      <c r="E237" t="s">
        <v>86</v>
      </c>
      <c r="F237" s="212"/>
      <c r="G237" s="213"/>
      <c r="H237" s="151"/>
    </row>
    <row r="238" spans="2:8" s="43" customFormat="1" ht="12" x14ac:dyDescent="0.25">
      <c r="B238" s="44"/>
      <c r="C238" s="45"/>
      <c r="D238" s="126" t="str">
        <f t="shared" si="19"/>
        <v/>
      </c>
      <c r="E238" s="46"/>
      <c r="F238" s="212"/>
      <c r="G238" s="213"/>
      <c r="H238" s="151"/>
    </row>
    <row r="239" spans="2:8" s="43" customFormat="1" ht="12.45" thickBot="1" x14ac:dyDescent="0.3">
      <c r="B239" s="44"/>
      <c r="C239" s="47"/>
      <c r="D239" s="127" t="str">
        <f t="shared" si="19"/>
        <v/>
      </c>
      <c r="E239" s="48"/>
      <c r="F239" s="214"/>
      <c r="G239" s="215"/>
      <c r="H239" s="151"/>
    </row>
    <row r="240" spans="2:8" s="43" customFormat="1" ht="12.9" thickBot="1" x14ac:dyDescent="0.3">
      <c r="B240" s="86" t="s">
        <v>41</v>
      </c>
      <c r="C240" s="67">
        <f>SUM(C232:C239)</f>
        <v>38</v>
      </c>
      <c r="D240" s="86" t="str">
        <f xml:space="preserve"> setValueToTime(C240)</f>
        <v>3h 10 min</v>
      </c>
      <c r="E240" s="95"/>
      <c r="F240" s="216"/>
      <c r="G240" s="217"/>
      <c r="H240" s="151"/>
    </row>
    <row r="241" spans="2:8" s="43" customFormat="1" ht="11.6" thickBot="1" x14ac:dyDescent="0.3">
      <c r="B241" s="62"/>
      <c r="C241" s="62"/>
      <c r="D241" s="62"/>
      <c r="E241" s="62"/>
      <c r="F241" s="62"/>
      <c r="G241" s="62"/>
      <c r="H241" s="151"/>
    </row>
    <row r="242" spans="2:8" s="39" customFormat="1" ht="30" customHeight="1" thickBot="1" x14ac:dyDescent="0.3">
      <c r="B242" s="64" t="s">
        <v>34</v>
      </c>
      <c r="C242" s="135">
        <v>7</v>
      </c>
      <c r="D242" s="135"/>
      <c r="E242" s="65" t="s">
        <v>35</v>
      </c>
      <c r="F242" s="77">
        <v>46150</v>
      </c>
      <c r="G242" s="101" t="s">
        <v>47</v>
      </c>
      <c r="H242" s="150"/>
    </row>
    <row r="243" spans="2:8" s="39" customFormat="1" ht="30" customHeight="1" thickBot="1" x14ac:dyDescent="0.3">
      <c r="B243" s="63" t="s">
        <v>36</v>
      </c>
      <c r="C243" s="122" t="s">
        <v>37</v>
      </c>
      <c r="D243" s="123"/>
      <c r="E243" s="63" t="s">
        <v>38</v>
      </c>
      <c r="F243" s="218" t="s">
        <v>39</v>
      </c>
      <c r="G243" s="219"/>
      <c r="H243" s="150"/>
    </row>
    <row r="244" spans="2:8" s="43" customFormat="1" ht="12" x14ac:dyDescent="0.25">
      <c r="B244" s="40" t="s">
        <v>57</v>
      </c>
      <c r="C244" s="41">
        <v>30</v>
      </c>
      <c r="D244" s="124" t="str">
        <f xml:space="preserve"> IF(C244="","",setValueToTime(C244))</f>
        <v>2h 30 min</v>
      </c>
      <c r="E244" s="42" t="s">
        <v>87</v>
      </c>
      <c r="F244" s="220"/>
      <c r="G244" s="221"/>
      <c r="H244" s="151"/>
    </row>
    <row r="245" spans="2:8" s="43" customFormat="1" ht="24" x14ac:dyDescent="0.25">
      <c r="B245" s="44" t="s">
        <v>64</v>
      </c>
      <c r="C245" s="45">
        <v>18</v>
      </c>
      <c r="D245" s="125" t="str">
        <f t="shared" ref="D245:D251" si="20" xml:space="preserve"> IF(C245="","",setValueToTime(C245))</f>
        <v>1h 30 min</v>
      </c>
      <c r="E245" s="46" t="s">
        <v>102</v>
      </c>
      <c r="F245" s="212"/>
      <c r="G245" s="213"/>
      <c r="H245" s="151"/>
    </row>
    <row r="246" spans="2:8" s="43" customFormat="1" ht="12" x14ac:dyDescent="0.25">
      <c r="B246" s="44"/>
      <c r="C246" s="45"/>
      <c r="D246" s="125" t="str">
        <f t="shared" si="20"/>
        <v/>
      </c>
      <c r="E246" s="46"/>
      <c r="F246" s="212"/>
      <c r="G246" s="213"/>
      <c r="H246" s="151"/>
    </row>
    <row r="247" spans="2:8" s="43" customFormat="1" ht="12" x14ac:dyDescent="0.25">
      <c r="B247" s="44"/>
      <c r="C247" s="45"/>
      <c r="D247" s="125" t="str">
        <f t="shared" si="20"/>
        <v/>
      </c>
      <c r="E247" s="46"/>
      <c r="F247" s="212"/>
      <c r="G247" s="213"/>
      <c r="H247" s="151"/>
    </row>
    <row r="248" spans="2:8" s="43" customFormat="1" ht="12" x14ac:dyDescent="0.25">
      <c r="B248" s="44"/>
      <c r="C248" s="45"/>
      <c r="D248" s="126" t="str">
        <f t="shared" si="20"/>
        <v/>
      </c>
      <c r="E248" s="46"/>
      <c r="F248" s="212"/>
      <c r="G248" s="213"/>
      <c r="H248" s="151"/>
    </row>
    <row r="249" spans="2:8" s="43" customFormat="1" ht="12" x14ac:dyDescent="0.25">
      <c r="B249" s="44"/>
      <c r="C249" s="45"/>
      <c r="D249" s="126" t="str">
        <f t="shared" si="20"/>
        <v/>
      </c>
      <c r="E249" s="46"/>
      <c r="F249" s="212"/>
      <c r="G249" s="213"/>
      <c r="H249" s="151"/>
    </row>
    <row r="250" spans="2:8" s="43" customFormat="1" ht="12" x14ac:dyDescent="0.25">
      <c r="B250" s="44"/>
      <c r="C250" s="45"/>
      <c r="D250" s="126" t="str">
        <f t="shared" si="20"/>
        <v/>
      </c>
      <c r="E250" s="46"/>
      <c r="F250" s="212"/>
      <c r="G250" s="213"/>
      <c r="H250" s="151"/>
    </row>
    <row r="251" spans="2:8" s="43" customFormat="1" ht="12.45" thickBot="1" x14ac:dyDescent="0.3">
      <c r="B251" s="44"/>
      <c r="C251" s="47"/>
      <c r="D251" s="127" t="str">
        <f t="shared" si="20"/>
        <v/>
      </c>
      <c r="E251" s="48"/>
      <c r="F251" s="214"/>
      <c r="G251" s="215"/>
      <c r="H251" s="151"/>
    </row>
    <row r="252" spans="2:8" s="43" customFormat="1" ht="12.9" thickBot="1" x14ac:dyDescent="0.3">
      <c r="B252" s="86" t="s">
        <v>41</v>
      </c>
      <c r="C252" s="67">
        <f>SUM(C244:C251)</f>
        <v>48</v>
      </c>
      <c r="D252" s="86" t="str">
        <f xml:space="preserve"> setValueToTime(C252)</f>
        <v>4h</v>
      </c>
      <c r="E252" s="95"/>
      <c r="F252" s="216"/>
      <c r="G252" s="217"/>
      <c r="H252" s="151"/>
    </row>
    <row r="253" spans="2:8" s="43" customFormat="1" ht="11.6" thickBot="1" x14ac:dyDescent="0.3">
      <c r="B253" s="62"/>
      <c r="C253" s="62"/>
      <c r="D253" s="62"/>
      <c r="E253" s="62"/>
      <c r="F253" s="62"/>
      <c r="G253" s="62"/>
      <c r="H253" s="151"/>
    </row>
    <row r="254" spans="2:8" s="39" customFormat="1" ht="30" customHeight="1" thickBot="1" x14ac:dyDescent="0.3">
      <c r="B254" s="64" t="s">
        <v>34</v>
      </c>
      <c r="C254" s="135">
        <v>6</v>
      </c>
      <c r="D254" s="135"/>
      <c r="E254" s="65" t="s">
        <v>35</v>
      </c>
      <c r="F254" s="77">
        <v>46149</v>
      </c>
      <c r="G254" s="101" t="s">
        <v>48</v>
      </c>
      <c r="H254" s="150"/>
    </row>
    <row r="255" spans="2:8" s="39" customFormat="1" ht="30" customHeight="1" thickBot="1" x14ac:dyDescent="0.3">
      <c r="B255" s="63" t="s">
        <v>36</v>
      </c>
      <c r="C255" s="122" t="s">
        <v>37</v>
      </c>
      <c r="D255" s="123"/>
      <c r="E255" s="63" t="s">
        <v>38</v>
      </c>
      <c r="F255" s="218" t="s">
        <v>39</v>
      </c>
      <c r="G255" s="219"/>
      <c r="H255" s="150"/>
    </row>
    <row r="256" spans="2:8" s="43" customFormat="1" ht="24" x14ac:dyDescent="0.25">
      <c r="B256" s="40" t="s">
        <v>57</v>
      </c>
      <c r="C256" s="41">
        <v>38</v>
      </c>
      <c r="D256" s="124" t="str">
        <f xml:space="preserve"> IF(C256="","",setValueToTime(C256))</f>
        <v>3h 10 min</v>
      </c>
      <c r="E256" s="42" t="s">
        <v>88</v>
      </c>
      <c r="F256" s="220"/>
      <c r="G256" s="221"/>
      <c r="H256" s="151"/>
    </row>
    <row r="257" spans="2:8" s="43" customFormat="1" ht="12" x14ac:dyDescent="0.25">
      <c r="B257" s="44"/>
      <c r="C257" s="45"/>
      <c r="D257" s="125" t="str">
        <f t="shared" ref="D257:D263" si="21" xml:space="preserve"> IF(C257="","",setValueToTime(C257))</f>
        <v/>
      </c>
      <c r="E257" s="46"/>
      <c r="F257" s="212"/>
      <c r="G257" s="213"/>
      <c r="H257" s="151"/>
    </row>
    <row r="258" spans="2:8" s="43" customFormat="1" ht="12" x14ac:dyDescent="0.25">
      <c r="B258" s="44"/>
      <c r="C258" s="45"/>
      <c r="D258" s="125" t="str">
        <f t="shared" si="21"/>
        <v/>
      </c>
      <c r="E258" s="46"/>
      <c r="F258" s="212"/>
      <c r="G258" s="213"/>
      <c r="H258" s="151"/>
    </row>
    <row r="259" spans="2:8" s="43" customFormat="1" ht="12" x14ac:dyDescent="0.25">
      <c r="B259" s="44"/>
      <c r="C259" s="45"/>
      <c r="D259" s="125" t="str">
        <f t="shared" si="21"/>
        <v/>
      </c>
      <c r="E259" s="46"/>
      <c r="F259" s="212"/>
      <c r="G259" s="213"/>
      <c r="H259" s="151"/>
    </row>
    <row r="260" spans="2:8" s="43" customFormat="1" ht="12" x14ac:dyDescent="0.25">
      <c r="B260" s="44"/>
      <c r="C260" s="45"/>
      <c r="D260" s="126" t="str">
        <f t="shared" si="21"/>
        <v/>
      </c>
      <c r="E260" s="46"/>
      <c r="F260" s="212"/>
      <c r="G260" s="213"/>
      <c r="H260" s="151"/>
    </row>
    <row r="261" spans="2:8" s="43" customFormat="1" ht="12" x14ac:dyDescent="0.25">
      <c r="B261" s="44"/>
      <c r="C261" s="45"/>
      <c r="D261" s="126" t="str">
        <f t="shared" si="21"/>
        <v/>
      </c>
      <c r="E261" s="46"/>
      <c r="F261" s="212"/>
      <c r="G261" s="213"/>
      <c r="H261" s="151"/>
    </row>
    <row r="262" spans="2:8" s="43" customFormat="1" ht="12" x14ac:dyDescent="0.25">
      <c r="B262" s="44"/>
      <c r="C262" s="45"/>
      <c r="D262" s="126" t="str">
        <f t="shared" si="21"/>
        <v/>
      </c>
      <c r="E262" s="46"/>
      <c r="F262" s="212"/>
      <c r="G262" s="213"/>
      <c r="H262" s="151"/>
    </row>
    <row r="263" spans="2:8" s="43" customFormat="1" ht="12.45" thickBot="1" x14ac:dyDescent="0.3">
      <c r="B263" s="44"/>
      <c r="C263" s="47"/>
      <c r="D263" s="127" t="str">
        <f t="shared" si="21"/>
        <v/>
      </c>
      <c r="E263" s="48"/>
      <c r="F263" s="214"/>
      <c r="G263" s="215"/>
      <c r="H263" s="151"/>
    </row>
    <row r="264" spans="2:8" s="43" customFormat="1" ht="12.9" thickBot="1" x14ac:dyDescent="0.3">
      <c r="B264" s="86" t="s">
        <v>41</v>
      </c>
      <c r="C264" s="67">
        <f>SUM(C256:C263)</f>
        <v>38</v>
      </c>
      <c r="D264" s="86" t="str">
        <f xml:space="preserve"> setValueToTime(C264)</f>
        <v>3h 10 min</v>
      </c>
      <c r="E264" s="95"/>
      <c r="F264" s="216"/>
      <c r="G264" s="217"/>
      <c r="H264" s="151"/>
    </row>
    <row r="265" spans="2:8" s="43" customFormat="1" ht="11.6" thickBot="1" x14ac:dyDescent="0.3">
      <c r="B265" s="62"/>
      <c r="C265" s="62"/>
      <c r="D265" s="62"/>
      <c r="E265" s="62"/>
      <c r="F265" s="62"/>
      <c r="G265" s="62"/>
      <c r="H265" s="151"/>
    </row>
    <row r="266" spans="2:8" s="39" customFormat="1" ht="30" customHeight="1" thickBot="1" x14ac:dyDescent="0.3">
      <c r="B266" s="64" t="s">
        <v>34</v>
      </c>
      <c r="C266" s="135">
        <v>5</v>
      </c>
      <c r="D266" s="135"/>
      <c r="E266" s="65" t="s">
        <v>35</v>
      </c>
      <c r="F266" s="77">
        <v>46149</v>
      </c>
      <c r="G266" s="101" t="s">
        <v>47</v>
      </c>
      <c r="H266" s="150"/>
    </row>
    <row r="267" spans="2:8" s="39" customFormat="1" ht="30" customHeight="1" thickBot="1" x14ac:dyDescent="0.3">
      <c r="B267" s="63" t="s">
        <v>36</v>
      </c>
      <c r="C267" s="122" t="s">
        <v>37</v>
      </c>
      <c r="D267" s="123"/>
      <c r="E267" s="63" t="s">
        <v>38</v>
      </c>
      <c r="F267" s="218" t="s">
        <v>39</v>
      </c>
      <c r="G267" s="219"/>
      <c r="H267" s="150"/>
    </row>
    <row r="268" spans="2:8" s="43" customFormat="1" ht="12" x14ac:dyDescent="0.25">
      <c r="B268" s="40" t="s">
        <v>66</v>
      </c>
      <c r="C268" s="41">
        <v>6</v>
      </c>
      <c r="D268" s="124" t="str">
        <f xml:space="preserve"> IF(C268="","",setValueToTime(C268))</f>
        <v xml:space="preserve"> 30 min</v>
      </c>
      <c r="E268" s="42" t="s">
        <v>89</v>
      </c>
      <c r="F268" s="220"/>
      <c r="G268" s="221"/>
      <c r="H268" s="151"/>
    </row>
    <row r="269" spans="2:8" s="43" customFormat="1" ht="12" x14ac:dyDescent="0.25">
      <c r="B269" s="44" t="s">
        <v>53</v>
      </c>
      <c r="C269" s="45">
        <v>9</v>
      </c>
      <c r="D269" s="125" t="str">
        <f t="shared" ref="D269:D275" si="22" xml:space="preserve"> IF(C269="","",setValueToTime(C269))</f>
        <v xml:space="preserve"> 45 min</v>
      </c>
      <c r="E269" t="s">
        <v>91</v>
      </c>
      <c r="F269" s="212"/>
      <c r="G269" s="213"/>
      <c r="H269" s="151"/>
    </row>
    <row r="270" spans="2:8" s="43" customFormat="1" ht="12" x14ac:dyDescent="0.25">
      <c r="B270" s="44" t="s">
        <v>56</v>
      </c>
      <c r="C270" s="45">
        <v>33</v>
      </c>
      <c r="D270" s="125" t="str">
        <f t="shared" si="22"/>
        <v>2h 45 min</v>
      </c>
      <c r="E270" t="s">
        <v>90</v>
      </c>
      <c r="F270" s="212"/>
      <c r="G270" s="213"/>
      <c r="H270" s="151"/>
    </row>
    <row r="271" spans="2:8" s="43" customFormat="1" ht="12" x14ac:dyDescent="0.25">
      <c r="B271" s="44"/>
      <c r="C271" s="45"/>
      <c r="D271" s="125" t="str">
        <f t="shared" si="22"/>
        <v/>
      </c>
      <c r="E271" s="46"/>
      <c r="F271" s="212"/>
      <c r="G271" s="213"/>
      <c r="H271" s="151"/>
    </row>
    <row r="272" spans="2:8" s="43" customFormat="1" ht="12" x14ac:dyDescent="0.25">
      <c r="B272" s="44"/>
      <c r="C272" s="45"/>
      <c r="D272" s="126" t="str">
        <f t="shared" si="22"/>
        <v/>
      </c>
      <c r="E272" s="46"/>
      <c r="F272" s="212"/>
      <c r="G272" s="213"/>
      <c r="H272" s="151"/>
    </row>
    <row r="273" spans="2:8" s="43" customFormat="1" ht="12" x14ac:dyDescent="0.25">
      <c r="B273" s="44"/>
      <c r="C273" s="45"/>
      <c r="D273" s="126" t="str">
        <f t="shared" si="22"/>
        <v/>
      </c>
      <c r="E273" s="46"/>
      <c r="F273" s="212"/>
      <c r="G273" s="213"/>
      <c r="H273" s="151"/>
    </row>
    <row r="274" spans="2:8" s="43" customFormat="1" ht="12" x14ac:dyDescent="0.25">
      <c r="B274" s="44"/>
      <c r="C274" s="45"/>
      <c r="D274" s="126" t="str">
        <f t="shared" si="22"/>
        <v/>
      </c>
      <c r="E274" s="46"/>
      <c r="F274" s="212"/>
      <c r="G274" s="213"/>
      <c r="H274" s="151"/>
    </row>
    <row r="275" spans="2:8" s="43" customFormat="1" ht="12.45" thickBot="1" x14ac:dyDescent="0.3">
      <c r="B275" s="44"/>
      <c r="C275" s="47"/>
      <c r="D275" s="127" t="str">
        <f t="shared" si="22"/>
        <v/>
      </c>
      <c r="E275" s="48"/>
      <c r="F275" s="214"/>
      <c r="G275" s="215"/>
      <c r="H275" s="151"/>
    </row>
    <row r="276" spans="2:8" s="43" customFormat="1" ht="12.9" thickBot="1" x14ac:dyDescent="0.3">
      <c r="B276" s="86" t="s">
        <v>41</v>
      </c>
      <c r="C276" s="67">
        <f>SUM(C268:C275)</f>
        <v>48</v>
      </c>
      <c r="D276" s="86" t="str">
        <f xml:space="preserve"> setValueToTime(C276)</f>
        <v>4h</v>
      </c>
      <c r="E276" s="95"/>
      <c r="F276" s="216"/>
      <c r="G276" s="217"/>
      <c r="H276" s="151"/>
    </row>
    <row r="277" spans="2:8" s="43" customFormat="1" ht="11.6" thickBot="1" x14ac:dyDescent="0.3">
      <c r="B277" s="62"/>
      <c r="C277" s="62"/>
      <c r="D277" s="62"/>
      <c r="E277" s="62"/>
      <c r="F277" s="62"/>
      <c r="G277" s="62"/>
      <c r="H277" s="151"/>
    </row>
    <row r="278" spans="2:8" s="39" customFormat="1" ht="30" customHeight="1" thickBot="1" x14ac:dyDescent="0.3">
      <c r="B278" s="64" t="s">
        <v>34</v>
      </c>
      <c r="C278" s="135">
        <v>4</v>
      </c>
      <c r="D278" s="135"/>
      <c r="E278" s="65" t="s">
        <v>35</v>
      </c>
      <c r="F278" s="77">
        <v>46148</v>
      </c>
      <c r="G278" s="101" t="s">
        <v>48</v>
      </c>
      <c r="H278" s="150"/>
    </row>
    <row r="279" spans="2:8" s="39" customFormat="1" ht="30" customHeight="1" thickBot="1" x14ac:dyDescent="0.3">
      <c r="B279" s="63" t="s">
        <v>36</v>
      </c>
      <c r="C279" s="122" t="s">
        <v>37</v>
      </c>
      <c r="D279" s="123"/>
      <c r="E279" s="63" t="s">
        <v>38</v>
      </c>
      <c r="F279" s="218" t="s">
        <v>39</v>
      </c>
      <c r="G279" s="219"/>
      <c r="H279" s="150"/>
    </row>
    <row r="280" spans="2:8" s="43" customFormat="1" ht="24" x14ac:dyDescent="0.25">
      <c r="B280" s="40" t="s">
        <v>55</v>
      </c>
      <c r="C280" s="41">
        <v>6</v>
      </c>
      <c r="D280" s="124" t="str">
        <f xml:space="preserve"> IF(C280="","",setValueToTime(C280))</f>
        <v xml:space="preserve"> 30 min</v>
      </c>
      <c r="E280" t="s">
        <v>84</v>
      </c>
      <c r="F280" s="220"/>
      <c r="G280" s="221"/>
      <c r="H280" s="151"/>
    </row>
    <row r="281" spans="2:8" s="43" customFormat="1" ht="24" x14ac:dyDescent="0.25">
      <c r="B281" s="44" t="s">
        <v>66</v>
      </c>
      <c r="C281" s="45">
        <v>12</v>
      </c>
      <c r="D281" s="125" t="str">
        <f t="shared" ref="D281:D287" si="23" xml:space="preserve"> IF(C281="","",setValueToTime(C281))</f>
        <v>1h</v>
      </c>
      <c r="E281" s="46" t="s">
        <v>132</v>
      </c>
      <c r="F281" s="212"/>
      <c r="G281" s="213"/>
      <c r="H281" s="151"/>
    </row>
    <row r="282" spans="2:8" s="43" customFormat="1" ht="24" x14ac:dyDescent="0.25">
      <c r="B282" s="44" t="s">
        <v>54</v>
      </c>
      <c r="C282" s="45">
        <v>5</v>
      </c>
      <c r="D282" s="125" t="str">
        <f t="shared" si="23"/>
        <v xml:space="preserve"> 25 min</v>
      </c>
      <c r="E282" s="46" t="s">
        <v>85</v>
      </c>
      <c r="F282" s="212"/>
      <c r="G282" s="213"/>
      <c r="H282" s="151"/>
    </row>
    <row r="283" spans="2:8" s="43" customFormat="1" ht="12" x14ac:dyDescent="0.25">
      <c r="B283" s="44" t="s">
        <v>53</v>
      </c>
      <c r="C283" s="45">
        <v>11</v>
      </c>
      <c r="D283" s="125" t="str">
        <f t="shared" si="23"/>
        <v xml:space="preserve"> 55 min</v>
      </c>
      <c r="E283" s="46" t="s">
        <v>92</v>
      </c>
      <c r="F283" s="212"/>
      <c r="G283" s="213"/>
      <c r="H283" s="151"/>
    </row>
    <row r="284" spans="2:8" s="43" customFormat="1" ht="12" x14ac:dyDescent="0.25">
      <c r="B284" s="44" t="s">
        <v>29</v>
      </c>
      <c r="C284" s="45">
        <v>2</v>
      </c>
      <c r="D284" s="126" t="str">
        <f t="shared" si="23"/>
        <v xml:space="preserve"> 10 min</v>
      </c>
      <c r="E284" s="46" t="s">
        <v>93</v>
      </c>
      <c r="F284" s="212"/>
      <c r="G284" s="213"/>
      <c r="H284" s="151"/>
    </row>
    <row r="285" spans="2:8" s="43" customFormat="1" ht="12" x14ac:dyDescent="0.25">
      <c r="B285" s="44" t="s">
        <v>30</v>
      </c>
      <c r="C285" s="45">
        <v>2</v>
      </c>
      <c r="D285" s="126" t="str">
        <f t="shared" si="23"/>
        <v xml:space="preserve"> 10 min</v>
      </c>
      <c r="E285" s="46" t="s">
        <v>94</v>
      </c>
      <c r="F285" s="212"/>
      <c r="G285" s="213"/>
      <c r="H285" s="151"/>
    </row>
    <row r="286" spans="2:8" s="43" customFormat="1" ht="12" x14ac:dyDescent="0.25">
      <c r="B286" s="44"/>
      <c r="C286" s="45"/>
      <c r="D286" s="126" t="str">
        <f t="shared" si="23"/>
        <v/>
      </c>
      <c r="E286" s="46"/>
      <c r="F286" s="212"/>
      <c r="G286" s="213"/>
      <c r="H286" s="151"/>
    </row>
    <row r="287" spans="2:8" s="43" customFormat="1" ht="12.45" thickBot="1" x14ac:dyDescent="0.3">
      <c r="B287" s="44"/>
      <c r="C287" s="47"/>
      <c r="D287" s="127" t="str">
        <f t="shared" si="23"/>
        <v/>
      </c>
      <c r="E287" s="48"/>
      <c r="F287" s="214"/>
      <c r="G287" s="215"/>
      <c r="H287" s="151"/>
    </row>
    <row r="288" spans="2:8" s="43" customFormat="1" ht="12.9" thickBot="1" x14ac:dyDescent="0.3">
      <c r="B288" s="86" t="s">
        <v>41</v>
      </c>
      <c r="C288" s="67">
        <f>SUM(C280:C287)</f>
        <v>38</v>
      </c>
      <c r="D288" s="86" t="str">
        <f xml:space="preserve"> setValueToTime(C288)</f>
        <v>3h 10 min</v>
      </c>
      <c r="E288" s="95"/>
      <c r="F288" s="216"/>
      <c r="G288" s="217"/>
      <c r="H288" s="151"/>
    </row>
    <row r="289" spans="2:8" s="43" customFormat="1" ht="11.6" thickBot="1" x14ac:dyDescent="0.3">
      <c r="B289" s="62"/>
      <c r="C289" s="62"/>
      <c r="D289" s="62"/>
      <c r="E289" s="62"/>
      <c r="F289" s="62"/>
      <c r="G289" s="62"/>
      <c r="H289" s="151"/>
    </row>
    <row r="290" spans="2:8" s="39" customFormat="1" ht="30" customHeight="1" thickBot="1" x14ac:dyDescent="0.3">
      <c r="B290" s="64" t="s">
        <v>34</v>
      </c>
      <c r="C290" s="135">
        <v>3</v>
      </c>
      <c r="D290" s="135"/>
      <c r="E290" s="65" t="s">
        <v>35</v>
      </c>
      <c r="F290" s="77">
        <v>46148</v>
      </c>
      <c r="G290" s="101" t="s">
        <v>47</v>
      </c>
      <c r="H290" s="150"/>
    </row>
    <row r="291" spans="2:8" s="39" customFormat="1" ht="30" customHeight="1" thickBot="1" x14ac:dyDescent="0.3">
      <c r="B291" s="63" t="s">
        <v>36</v>
      </c>
      <c r="C291" s="122" t="s">
        <v>37</v>
      </c>
      <c r="D291" s="123"/>
      <c r="E291" s="63" t="s">
        <v>38</v>
      </c>
      <c r="F291" s="218" t="s">
        <v>39</v>
      </c>
      <c r="G291" s="219"/>
      <c r="H291" s="150"/>
    </row>
    <row r="292" spans="2:8" s="43" customFormat="1" ht="24" x14ac:dyDescent="0.25">
      <c r="B292" s="40" t="s">
        <v>74</v>
      </c>
      <c r="C292" s="41">
        <v>9</v>
      </c>
      <c r="D292" s="124" t="str">
        <f xml:space="preserve"> IF(C292="","",setValueToTime(C292))</f>
        <v xml:space="preserve"> 45 min</v>
      </c>
      <c r="E292" s="42" t="s">
        <v>269</v>
      </c>
      <c r="F292" s="220"/>
      <c r="G292" s="221"/>
      <c r="H292" s="151"/>
    </row>
    <row r="293" spans="2:8" s="43" customFormat="1" ht="24" x14ac:dyDescent="0.25">
      <c r="B293" s="44" t="s">
        <v>52</v>
      </c>
      <c r="C293" s="45">
        <v>9</v>
      </c>
      <c r="D293" s="125" t="str">
        <f t="shared" ref="D293:D299" si="24" xml:space="preserve"> IF(C293="","",setValueToTime(C293))</f>
        <v xml:space="preserve"> 45 min</v>
      </c>
      <c r="E293" s="46" t="s">
        <v>131</v>
      </c>
      <c r="F293" s="212"/>
      <c r="G293" s="213"/>
      <c r="H293" s="151"/>
    </row>
    <row r="294" spans="2:8" s="43" customFormat="1" ht="12" x14ac:dyDescent="0.25">
      <c r="B294" s="44" t="s">
        <v>50</v>
      </c>
      <c r="C294" s="45">
        <v>12</v>
      </c>
      <c r="D294" s="125" t="str">
        <f t="shared" si="24"/>
        <v>1h</v>
      </c>
      <c r="E294" t="s">
        <v>83</v>
      </c>
      <c r="F294" s="212"/>
      <c r="G294" s="213"/>
      <c r="H294" s="151"/>
    </row>
    <row r="295" spans="2:8" s="43" customFormat="1" ht="12.45" thickBot="1" x14ac:dyDescent="0.3">
      <c r="B295" s="44" t="s">
        <v>69</v>
      </c>
      <c r="C295" s="45">
        <v>9</v>
      </c>
      <c r="D295" s="125" t="str">
        <f t="shared" si="24"/>
        <v xml:space="preserve"> 45 min</v>
      </c>
      <c r="E295" t="s">
        <v>130</v>
      </c>
      <c r="F295" s="212"/>
      <c r="G295" s="213"/>
      <c r="H295" s="151"/>
    </row>
    <row r="296" spans="2:8" s="43" customFormat="1" ht="24" x14ac:dyDescent="0.25">
      <c r="B296" s="40" t="s">
        <v>55</v>
      </c>
      <c r="C296" s="45">
        <v>9</v>
      </c>
      <c r="D296" s="126" t="str">
        <f t="shared" si="24"/>
        <v xml:space="preserve"> 45 min</v>
      </c>
      <c r="E296" t="s">
        <v>82</v>
      </c>
      <c r="F296" s="212"/>
      <c r="G296" s="213"/>
      <c r="H296" s="151"/>
    </row>
    <row r="297" spans="2:8" s="43" customFormat="1" ht="12" x14ac:dyDescent="0.25">
      <c r="B297" s="44"/>
      <c r="C297" s="45"/>
      <c r="D297" s="126" t="str">
        <f t="shared" si="24"/>
        <v/>
      </c>
      <c r="E297" s="46"/>
      <c r="F297" s="212"/>
      <c r="G297" s="213"/>
      <c r="H297" s="151"/>
    </row>
    <row r="298" spans="2:8" s="43" customFormat="1" ht="12" x14ac:dyDescent="0.25">
      <c r="B298" s="44"/>
      <c r="C298" s="45"/>
      <c r="D298" s="126" t="str">
        <f t="shared" si="24"/>
        <v/>
      </c>
      <c r="E298" s="46"/>
      <c r="F298" s="212"/>
      <c r="G298" s="213"/>
      <c r="H298" s="151"/>
    </row>
    <row r="299" spans="2:8" s="43" customFormat="1" ht="12.45" thickBot="1" x14ac:dyDescent="0.3">
      <c r="B299" s="44"/>
      <c r="C299" s="47"/>
      <c r="D299" s="127" t="str">
        <f t="shared" si="24"/>
        <v/>
      </c>
      <c r="E299" s="48"/>
      <c r="F299" s="214"/>
      <c r="G299" s="215"/>
      <c r="H299" s="151"/>
    </row>
    <row r="300" spans="2:8" s="43" customFormat="1" ht="12.9" thickBot="1" x14ac:dyDescent="0.3">
      <c r="B300" s="86" t="s">
        <v>41</v>
      </c>
      <c r="C300" s="67">
        <f>SUM(C292:C299)</f>
        <v>48</v>
      </c>
      <c r="D300" s="86" t="str">
        <f xml:space="preserve"> setValueToTime(C300)</f>
        <v>4h</v>
      </c>
      <c r="E300" s="95"/>
      <c r="F300" s="216"/>
      <c r="G300" s="217"/>
      <c r="H300" s="151"/>
    </row>
    <row r="301" spans="2:8" s="43" customFormat="1" ht="11.6" thickBot="1" x14ac:dyDescent="0.3">
      <c r="B301" s="62"/>
      <c r="C301" s="62"/>
      <c r="D301" s="62"/>
      <c r="E301" s="62"/>
      <c r="F301" s="62"/>
      <c r="G301" s="62"/>
      <c r="H301" s="151"/>
    </row>
    <row r="302" spans="2:8" s="39" customFormat="1" ht="30" customHeight="1" thickBot="1" x14ac:dyDescent="0.3">
      <c r="B302" s="64" t="s">
        <v>34</v>
      </c>
      <c r="C302" s="135">
        <v>2</v>
      </c>
      <c r="D302" s="135"/>
      <c r="E302" s="65" t="s">
        <v>35</v>
      </c>
      <c r="F302" s="77">
        <v>46146</v>
      </c>
      <c r="G302" s="101" t="s">
        <v>48</v>
      </c>
      <c r="H302" s="150"/>
    </row>
    <row r="303" spans="2:8" s="39" customFormat="1" ht="30" customHeight="1" thickBot="1" x14ac:dyDescent="0.3">
      <c r="B303" s="63" t="s">
        <v>36</v>
      </c>
      <c r="C303" s="122" t="s">
        <v>37</v>
      </c>
      <c r="D303" s="123"/>
      <c r="E303" s="63" t="s">
        <v>38</v>
      </c>
      <c r="F303" s="218" t="s">
        <v>39</v>
      </c>
      <c r="G303" s="219"/>
      <c r="H303" s="150"/>
    </row>
    <row r="304" spans="2:8" s="43" customFormat="1" ht="12" x14ac:dyDescent="0.25">
      <c r="B304" s="40" t="s">
        <v>28</v>
      </c>
      <c r="C304" s="41">
        <v>20</v>
      </c>
      <c r="D304" s="124" t="str">
        <f xml:space="preserve"> IF(C304="","",setValueToTime(C304))</f>
        <v>1h 40 min</v>
      </c>
      <c r="E304" s="42" t="s">
        <v>78</v>
      </c>
      <c r="F304" s="220"/>
      <c r="G304" s="221"/>
      <c r="H304" s="151"/>
    </row>
    <row r="305" spans="2:8" s="43" customFormat="1" ht="24" x14ac:dyDescent="0.25">
      <c r="B305" s="44" t="s">
        <v>49</v>
      </c>
      <c r="C305" s="45">
        <v>2</v>
      </c>
      <c r="D305" s="125" t="str">
        <f t="shared" ref="D305:D311" si="25" xml:space="preserve"> IF(C305="","",setValueToTime(C305))</f>
        <v xml:space="preserve"> 10 min</v>
      </c>
      <c r="E305" s="46" t="s">
        <v>81</v>
      </c>
      <c r="F305" s="212"/>
      <c r="G305" s="213"/>
      <c r="H305" s="151"/>
    </row>
    <row r="306" spans="2:8" s="43" customFormat="1" ht="12" x14ac:dyDescent="0.25">
      <c r="B306" s="44" t="s">
        <v>29</v>
      </c>
      <c r="C306" s="45">
        <v>4</v>
      </c>
      <c r="D306" s="125" t="str">
        <f t="shared" si="25"/>
        <v xml:space="preserve"> 20 min</v>
      </c>
      <c r="E306" s="46" t="s">
        <v>79</v>
      </c>
      <c r="F306" s="212"/>
      <c r="G306" s="213"/>
      <c r="H306" s="151"/>
    </row>
    <row r="307" spans="2:8" s="43" customFormat="1" ht="12" x14ac:dyDescent="0.25">
      <c r="B307" s="44" t="s">
        <v>30</v>
      </c>
      <c r="C307" s="45">
        <v>3</v>
      </c>
      <c r="D307" s="125" t="str">
        <f t="shared" si="25"/>
        <v xml:space="preserve"> 15 min</v>
      </c>
      <c r="E307" s="46" t="s">
        <v>80</v>
      </c>
      <c r="F307" s="212"/>
      <c r="G307" s="213"/>
      <c r="H307" s="151"/>
    </row>
    <row r="308" spans="2:8" s="43" customFormat="1" ht="12" x14ac:dyDescent="0.25">
      <c r="B308" s="44"/>
      <c r="C308" s="45"/>
      <c r="D308" s="126" t="str">
        <f t="shared" si="25"/>
        <v/>
      </c>
      <c r="E308" s="46"/>
      <c r="F308" s="212"/>
      <c r="G308" s="213"/>
      <c r="H308" s="151"/>
    </row>
    <row r="309" spans="2:8" s="43" customFormat="1" ht="12" x14ac:dyDescent="0.25">
      <c r="B309" s="44"/>
      <c r="C309" s="45"/>
      <c r="D309" s="126" t="str">
        <f t="shared" si="25"/>
        <v/>
      </c>
      <c r="E309" s="46"/>
      <c r="F309" s="212"/>
      <c r="G309" s="213"/>
      <c r="H309" s="151"/>
    </row>
    <row r="310" spans="2:8" s="43" customFormat="1" ht="12" x14ac:dyDescent="0.25">
      <c r="B310" s="44"/>
      <c r="C310" s="45"/>
      <c r="D310" s="126" t="str">
        <f t="shared" si="25"/>
        <v/>
      </c>
      <c r="E310" s="46"/>
      <c r="F310" s="212"/>
      <c r="G310" s="213"/>
      <c r="H310" s="151"/>
    </row>
    <row r="311" spans="2:8" s="43" customFormat="1" ht="12.45" thickBot="1" x14ac:dyDescent="0.3">
      <c r="B311" s="44"/>
      <c r="C311" s="47"/>
      <c r="D311" s="127" t="str">
        <f t="shared" si="25"/>
        <v/>
      </c>
      <c r="E311" s="48"/>
      <c r="F311" s="214"/>
      <c r="G311" s="215"/>
      <c r="H311" s="151"/>
    </row>
    <row r="312" spans="2:8" s="43" customFormat="1" ht="12.9" thickBot="1" x14ac:dyDescent="0.3">
      <c r="B312" s="86" t="s">
        <v>41</v>
      </c>
      <c r="C312" s="67">
        <f>SUM(C304:C311)</f>
        <v>29</v>
      </c>
      <c r="D312" s="86" t="str">
        <f xml:space="preserve"> setValueToTime(C312)</f>
        <v>2h 25 min</v>
      </c>
      <c r="E312" s="95"/>
      <c r="F312" s="216"/>
      <c r="G312" s="217"/>
      <c r="H312" s="151"/>
    </row>
    <row r="313" spans="2:8" s="43" customFormat="1" ht="11.6" thickBot="1" x14ac:dyDescent="0.3">
      <c r="B313" s="62"/>
      <c r="C313" s="62"/>
      <c r="D313" s="62"/>
      <c r="E313" s="62"/>
      <c r="F313" s="62"/>
      <c r="G313" s="62"/>
      <c r="H313" s="151"/>
    </row>
    <row r="314" spans="2:8" s="39" customFormat="1" ht="30" customHeight="1" thickBot="1" x14ac:dyDescent="0.3">
      <c r="B314" s="64" t="s">
        <v>34</v>
      </c>
      <c r="C314" s="135">
        <v>1</v>
      </c>
      <c r="D314" s="135"/>
      <c r="E314" s="65" t="s">
        <v>35</v>
      </c>
      <c r="F314" s="77">
        <v>46146</v>
      </c>
      <c r="G314" s="101" t="s">
        <v>47</v>
      </c>
      <c r="H314" s="150"/>
    </row>
    <row r="315" spans="2:8" s="39" customFormat="1" ht="30" customHeight="1" thickBot="1" x14ac:dyDescent="0.3">
      <c r="B315" s="63" t="s">
        <v>36</v>
      </c>
      <c r="C315" s="122" t="s">
        <v>37</v>
      </c>
      <c r="D315" s="123"/>
      <c r="E315" s="63" t="s">
        <v>38</v>
      </c>
      <c r="F315" s="218" t="s">
        <v>39</v>
      </c>
      <c r="G315" s="219"/>
      <c r="H315" s="150"/>
    </row>
    <row r="316" spans="2:8" s="43" customFormat="1" ht="12" x14ac:dyDescent="0.25">
      <c r="B316" s="40" t="s">
        <v>73</v>
      </c>
      <c r="C316" s="41">
        <v>12</v>
      </c>
      <c r="D316" s="124" t="str">
        <f xml:space="preserve"> IF(C316="","",setValueToTime(C316))</f>
        <v>1h</v>
      </c>
      <c r="E316" s="42" t="s">
        <v>75</v>
      </c>
      <c r="F316" s="220"/>
      <c r="G316" s="221"/>
      <c r="H316" s="151"/>
    </row>
    <row r="317" spans="2:8" s="43" customFormat="1" ht="12" x14ac:dyDescent="0.25">
      <c r="B317" s="44" t="s">
        <v>261</v>
      </c>
      <c r="C317" s="45">
        <v>7</v>
      </c>
      <c r="D317" s="125" t="str">
        <f t="shared" ref="D317:D323" si="26" xml:space="preserve"> IF(C317="","",setValueToTime(C317))</f>
        <v xml:space="preserve"> 35 min</v>
      </c>
      <c r="E317" t="s">
        <v>76</v>
      </c>
      <c r="F317" s="212"/>
      <c r="G317" s="213"/>
      <c r="H317" s="151"/>
    </row>
    <row r="318" spans="2:8" s="43" customFormat="1" ht="24" x14ac:dyDescent="0.25">
      <c r="B318" s="44" t="s">
        <v>52</v>
      </c>
      <c r="C318" s="45">
        <v>12</v>
      </c>
      <c r="D318" s="125" t="str">
        <f xml:space="preserve"> IF(C318="","",setValueToTime(C318))</f>
        <v>1h</v>
      </c>
      <c r="E318" s="46" t="s">
        <v>77</v>
      </c>
      <c r="F318" s="212"/>
      <c r="G318" s="213"/>
      <c r="H318" s="151"/>
    </row>
    <row r="319" spans="2:8" s="43" customFormat="1" ht="24" x14ac:dyDescent="0.25">
      <c r="B319" s="44" t="s">
        <v>28</v>
      </c>
      <c r="C319" s="45">
        <v>7</v>
      </c>
      <c r="D319" s="125" t="str">
        <f xml:space="preserve"> IF(C319="","",setValueToTime(C319))</f>
        <v xml:space="preserve"> 35 min</v>
      </c>
      <c r="E319" s="46" t="s">
        <v>262</v>
      </c>
      <c r="F319" s="212"/>
      <c r="G319" s="213"/>
      <c r="H319" s="151"/>
    </row>
    <row r="320" spans="2:8" s="43" customFormat="1" ht="12" x14ac:dyDescent="0.25">
      <c r="B320" s="44"/>
      <c r="C320" s="45"/>
      <c r="D320" s="126" t="str">
        <f t="shared" si="26"/>
        <v/>
      </c>
      <c r="E320" s="46"/>
      <c r="F320" s="212"/>
      <c r="G320" s="213"/>
      <c r="H320" s="151"/>
    </row>
    <row r="321" spans="2:8" s="43" customFormat="1" ht="12" x14ac:dyDescent="0.25">
      <c r="B321" s="44"/>
      <c r="C321" s="45"/>
      <c r="D321" s="126" t="str">
        <f t="shared" si="26"/>
        <v/>
      </c>
      <c r="E321" s="46"/>
      <c r="F321" s="212"/>
      <c r="G321" s="213"/>
      <c r="H321" s="151"/>
    </row>
    <row r="322" spans="2:8" s="43" customFormat="1" ht="12" x14ac:dyDescent="0.25">
      <c r="B322" s="44"/>
      <c r="C322" s="45"/>
      <c r="D322" s="126" t="str">
        <f t="shared" si="26"/>
        <v/>
      </c>
      <c r="E322" s="46"/>
      <c r="F322" s="212"/>
      <c r="G322" s="213"/>
      <c r="H322" s="151"/>
    </row>
    <row r="323" spans="2:8" s="43" customFormat="1" ht="12.45" thickBot="1" x14ac:dyDescent="0.3">
      <c r="B323" s="44"/>
      <c r="C323" s="47"/>
      <c r="D323" s="127" t="str">
        <f t="shared" si="26"/>
        <v/>
      </c>
      <c r="E323" s="48"/>
      <c r="F323" s="214"/>
      <c r="G323" s="215"/>
      <c r="H323" s="151"/>
    </row>
    <row r="324" spans="2:8" s="43" customFormat="1" ht="12.9" thickBot="1" x14ac:dyDescent="0.3">
      <c r="B324" s="86" t="s">
        <v>41</v>
      </c>
      <c r="C324" s="67">
        <f>SUM(C316:C323)</f>
        <v>38</v>
      </c>
      <c r="D324" s="86" t="str">
        <f xml:space="preserve"> setValueToTime(C324)</f>
        <v>3h 10 min</v>
      </c>
      <c r="E324" s="95"/>
      <c r="F324" s="216"/>
      <c r="G324" s="217"/>
      <c r="H324" s="151"/>
    </row>
    <row r="325" spans="2:8" s="43" customFormat="1" x14ac:dyDescent="0.25">
      <c r="B325" s="62"/>
      <c r="C325" s="62"/>
      <c r="D325" s="62"/>
      <c r="E325" s="62"/>
      <c r="F325" s="62"/>
      <c r="G325" s="62"/>
      <c r="H325" s="151"/>
    </row>
  </sheetData>
  <sheetProtection formatRows="0" insertRows="0" insertHyperlinks="0" deleteRows="0" selectLockedCells="1"/>
  <mergeCells count="270">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s>
  <phoneticPr fontId="0" type="noConversion"/>
  <conditionalFormatting sqref="C324">
    <cfRule type="cellIs" dxfId="55" priority="27" operator="greaterThan">
      <formula>60</formula>
    </cfRule>
  </conditionalFormatting>
  <conditionalFormatting sqref="C312">
    <cfRule type="cellIs" dxfId="54" priority="26" operator="greaterThan">
      <formula>60</formula>
    </cfRule>
  </conditionalFormatting>
  <conditionalFormatting sqref="C300">
    <cfRule type="cellIs" dxfId="53" priority="25" operator="greaterThan">
      <formula>60</formula>
    </cfRule>
  </conditionalFormatting>
  <conditionalFormatting sqref="C288">
    <cfRule type="cellIs" dxfId="52" priority="24" operator="greaterThan">
      <formula>60</formula>
    </cfRule>
  </conditionalFormatting>
  <conditionalFormatting sqref="C276">
    <cfRule type="cellIs" dxfId="51" priority="23" operator="greaterThan">
      <formula>60</formula>
    </cfRule>
  </conditionalFormatting>
  <conditionalFormatting sqref="C264">
    <cfRule type="cellIs" dxfId="50" priority="22" operator="greaterThan">
      <formula>60</formula>
    </cfRule>
  </conditionalFormatting>
  <conditionalFormatting sqref="C252">
    <cfRule type="cellIs" dxfId="49" priority="21" operator="greaterThan">
      <formula>60</formula>
    </cfRule>
  </conditionalFormatting>
  <conditionalFormatting sqref="C240">
    <cfRule type="cellIs" dxfId="48" priority="20" operator="greaterThan">
      <formula>60</formula>
    </cfRule>
  </conditionalFormatting>
  <conditionalFormatting sqref="C228">
    <cfRule type="cellIs" dxfId="47" priority="19" operator="greaterThan">
      <formula>60</formula>
    </cfRule>
  </conditionalFormatting>
  <conditionalFormatting sqref="C216">
    <cfRule type="cellIs" dxfId="46" priority="18" operator="greaterThan">
      <formula>60</formula>
    </cfRule>
  </conditionalFormatting>
  <conditionalFormatting sqref="C204">
    <cfRule type="cellIs" dxfId="45" priority="17" operator="greaterThan">
      <formula>60</formula>
    </cfRule>
  </conditionalFormatting>
  <conditionalFormatting sqref="C192">
    <cfRule type="cellIs" dxfId="44" priority="16" operator="greaterThan">
      <formula>60</formula>
    </cfRule>
  </conditionalFormatting>
  <conditionalFormatting sqref="C180">
    <cfRule type="cellIs" dxfId="43" priority="15" operator="greaterThan">
      <formula>60</formula>
    </cfRule>
  </conditionalFormatting>
  <conditionalFormatting sqref="C168">
    <cfRule type="cellIs" dxfId="42" priority="14" operator="greaterThan">
      <formula>60</formula>
    </cfRule>
  </conditionalFormatting>
  <conditionalFormatting sqref="C156">
    <cfRule type="cellIs" dxfId="41" priority="13" operator="greaterThan">
      <formula>60</formula>
    </cfRule>
  </conditionalFormatting>
  <conditionalFormatting sqref="C144">
    <cfRule type="cellIs" dxfId="40" priority="12" operator="greaterThan">
      <formula>60</formula>
    </cfRule>
  </conditionalFormatting>
  <conditionalFormatting sqref="C132">
    <cfRule type="cellIs" dxfId="39" priority="11" operator="greaterThan">
      <formula>60</formula>
    </cfRule>
  </conditionalFormatting>
  <conditionalFormatting sqref="C120">
    <cfRule type="cellIs" dxfId="38" priority="10" operator="greaterThan">
      <formula>60</formula>
    </cfRule>
  </conditionalFormatting>
  <conditionalFormatting sqref="C108">
    <cfRule type="cellIs" dxfId="37" priority="9" operator="greaterThan">
      <formula>60</formula>
    </cfRule>
  </conditionalFormatting>
  <conditionalFormatting sqref="C96">
    <cfRule type="cellIs" dxfId="36" priority="8" operator="greaterThan">
      <formula>60</formula>
    </cfRule>
  </conditionalFormatting>
  <conditionalFormatting sqref="C84">
    <cfRule type="cellIs" dxfId="35" priority="7" operator="greaterThan">
      <formula>60</formula>
    </cfRule>
  </conditionalFormatting>
  <conditionalFormatting sqref="C72">
    <cfRule type="cellIs" dxfId="34" priority="6" operator="greaterThan">
      <formula>60</formula>
    </cfRule>
  </conditionalFormatting>
  <conditionalFormatting sqref="C60">
    <cfRule type="cellIs" dxfId="33" priority="5" operator="greaterThan">
      <formula>60</formula>
    </cfRule>
  </conditionalFormatting>
  <conditionalFormatting sqref="C48">
    <cfRule type="cellIs" dxfId="32" priority="4" operator="greaterThan">
      <formula>60</formula>
    </cfRule>
  </conditionalFormatting>
  <conditionalFormatting sqref="C36">
    <cfRule type="cellIs" dxfId="31" priority="3" operator="greaterThan">
      <formula>60</formula>
    </cfRule>
  </conditionalFormatting>
  <conditionalFormatting sqref="C24">
    <cfRule type="cellIs" dxfId="30" priority="2" operator="greaterThan">
      <formula>60</formula>
    </cfRule>
  </conditionalFormatting>
  <conditionalFormatting sqref="C12">
    <cfRule type="cellIs" dxfId="29"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A2875D8F-215A-4768-90E1-F9657263F16C}">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C8065933-A11A-425D-8429-8E1A05D98388}">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2"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21771</xdr:colOff>
                <xdr:row>0</xdr:row>
                <xdr:rowOff>76200</xdr:rowOff>
              </from>
              <to>
                <xdr:col>3</xdr:col>
                <xdr:colOff>669471</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326571</xdr:colOff>
                <xdr:row>0</xdr:row>
                <xdr:rowOff>87086</xdr:rowOff>
              </from>
              <to>
                <xdr:col>1</xdr:col>
                <xdr:colOff>1861457</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266AE07-C020-4B4D-83A7-6825C9462EE8}">
          <x14:formula1>
            <xm:f>OFFSET(Bilan!$B:$B,14,0,COUNTA(Bilan!$C$15:$C$93))</xm:f>
          </x14:formula1>
          <xm:sqref>B316:B323 B64:B71 B16:B23 B28:B35 B40:B47 B52:B59 B244:B251 B76:B83 B88:B95 B100:B107 B112:B119 B124:B131 B136:B143 B148:B155 B160:B167 B172:B179 B184:B191 B196:B203 B208:B215 B220:B227 B232:B239 B280:B287 B256:B263 B268:B275 B292:B299 B304:B311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25"/>
  <sheetViews>
    <sheetView showGridLines="0" zoomScale="70" zoomScaleNormal="70" zoomScaleSheetLayoutView="98" workbookViewId="0">
      <pane ySplit="1" topLeftCell="A76" activePane="bottomLeft" state="frozen"/>
      <selection activeCell="I95" sqref="I95"/>
      <selection pane="bottomLeft" activeCell="E90" sqref="E90"/>
    </sheetView>
  </sheetViews>
  <sheetFormatPr baseColWidth="10" defaultColWidth="11.3828125" defaultRowHeight="11.15" x14ac:dyDescent="0.25"/>
  <cols>
    <col min="1" max="1" width="2.53515625" style="50" customWidth="1"/>
    <col min="2" max="2" width="21.3828125" style="49" customWidth="1"/>
    <col min="3" max="3" width="8.3828125" style="49" customWidth="1"/>
    <col min="4" max="4" width="11" style="49" customWidth="1"/>
    <col min="5" max="5" width="91" style="49" customWidth="1"/>
    <col min="6" max="6" width="30.53515625" style="100" customWidth="1"/>
    <col min="7" max="7" width="22.53515625" style="50" customWidth="1"/>
    <col min="8" max="8" width="2.3828125" style="50" customWidth="1"/>
    <col min="9" max="16384" width="11.3828125" style="50"/>
  </cols>
  <sheetData>
    <row r="1" spans="2:8" s="149" customFormat="1" ht="49.95" customHeight="1" thickBot="1" x14ac:dyDescent="0.3">
      <c r="B1" s="147"/>
      <c r="C1" s="147"/>
      <c r="D1" s="147"/>
      <c r="E1" s="147"/>
    </row>
    <row r="2" spans="2:8" s="39" customFormat="1" ht="30" customHeight="1" thickBot="1" x14ac:dyDescent="0.3">
      <c r="B2" s="128" t="s">
        <v>34</v>
      </c>
      <c r="C2" s="136">
        <v>27</v>
      </c>
      <c r="D2" s="136"/>
      <c r="E2" s="129" t="s">
        <v>35</v>
      </c>
      <c r="F2" s="130" t="s">
        <v>136</v>
      </c>
      <c r="G2" s="131" t="s">
        <v>47</v>
      </c>
      <c r="H2" s="150"/>
    </row>
    <row r="3" spans="2:8" s="39" customFormat="1" ht="30" customHeight="1" thickBot="1" x14ac:dyDescent="0.3">
      <c r="B3" s="61" t="s">
        <v>36</v>
      </c>
      <c r="C3" s="133" t="s">
        <v>37</v>
      </c>
      <c r="D3" s="132"/>
      <c r="E3" s="61" t="s">
        <v>38</v>
      </c>
      <c r="F3" s="224" t="s">
        <v>39</v>
      </c>
      <c r="G3" s="225"/>
      <c r="H3" s="150"/>
    </row>
    <row r="4" spans="2:8" s="43" customFormat="1" ht="12" x14ac:dyDescent="0.25">
      <c r="B4" s="40" t="s">
        <v>30</v>
      </c>
      <c r="C4" s="41">
        <v>15</v>
      </c>
      <c r="D4" s="124" t="str">
        <f xml:space="preserve"> IF(C4="","",setValueToTime(C4))</f>
        <v>1h 15 min</v>
      </c>
      <c r="E4" s="42" t="s">
        <v>241</v>
      </c>
      <c r="F4" s="220"/>
      <c r="G4" s="221"/>
      <c r="H4" s="151"/>
    </row>
    <row r="5" spans="2:8" s="43" customFormat="1" ht="12" x14ac:dyDescent="0.25">
      <c r="B5" s="44" t="s">
        <v>49</v>
      </c>
      <c r="C5" s="45">
        <v>4</v>
      </c>
      <c r="D5" s="125" t="str">
        <f t="shared" ref="D5:D11" si="0" xml:space="preserve"> IF(C5="","",setValueToTime(C5))</f>
        <v xml:space="preserve"> 20 min</v>
      </c>
      <c r="E5" t="s">
        <v>242</v>
      </c>
      <c r="F5" s="212"/>
      <c r="G5" s="213"/>
      <c r="H5" s="151"/>
    </row>
    <row r="6" spans="2:8" s="43" customFormat="1" ht="12" x14ac:dyDescent="0.25">
      <c r="B6" s="44"/>
      <c r="C6" s="45"/>
      <c r="D6" s="125" t="str">
        <f t="shared" si="0"/>
        <v/>
      </c>
      <c r="E6" s="46"/>
      <c r="F6" s="212"/>
      <c r="G6" s="213"/>
      <c r="H6" s="151"/>
    </row>
    <row r="7" spans="2:8" s="43" customFormat="1" ht="12" x14ac:dyDescent="0.25">
      <c r="B7" s="44"/>
      <c r="C7" s="45"/>
      <c r="D7" s="125" t="str">
        <f t="shared" si="0"/>
        <v/>
      </c>
      <c r="E7" s="46"/>
      <c r="F7" s="212"/>
      <c r="G7" s="213"/>
      <c r="H7" s="151"/>
    </row>
    <row r="8" spans="2:8" s="43" customFormat="1" ht="12" x14ac:dyDescent="0.25">
      <c r="B8" s="45"/>
      <c r="C8" s="45"/>
      <c r="D8" s="126" t="str">
        <f t="shared" si="0"/>
        <v/>
      </c>
      <c r="E8" s="46"/>
      <c r="F8" s="212"/>
      <c r="G8" s="213"/>
      <c r="H8" s="151"/>
    </row>
    <row r="9" spans="2:8" s="43" customFormat="1" ht="12" x14ac:dyDescent="0.25">
      <c r="B9" s="45"/>
      <c r="C9" s="45"/>
      <c r="D9" s="126" t="str">
        <f t="shared" si="0"/>
        <v/>
      </c>
      <c r="E9" s="46"/>
      <c r="F9" s="212"/>
      <c r="G9" s="213"/>
      <c r="H9" s="151"/>
    </row>
    <row r="10" spans="2:8" s="43" customFormat="1" ht="12" x14ac:dyDescent="0.25">
      <c r="B10" s="45"/>
      <c r="C10" s="45"/>
      <c r="D10" s="126" t="str">
        <f t="shared" si="0"/>
        <v/>
      </c>
      <c r="E10" s="46"/>
      <c r="F10" s="212"/>
      <c r="G10" s="213"/>
      <c r="H10" s="151"/>
    </row>
    <row r="11" spans="2:8" s="43" customFormat="1" ht="12.45" thickBot="1" x14ac:dyDescent="0.3">
      <c r="B11" s="47"/>
      <c r="C11" s="47"/>
      <c r="D11" s="127" t="str">
        <f t="shared" si="0"/>
        <v/>
      </c>
      <c r="E11" s="48"/>
      <c r="F11" s="214"/>
      <c r="G11" s="215"/>
      <c r="H11" s="151"/>
    </row>
    <row r="12" spans="2:8" s="43" customFormat="1" ht="12.9" thickBot="1" x14ac:dyDescent="0.3">
      <c r="B12" s="134" t="s">
        <v>41</v>
      </c>
      <c r="C12" s="66">
        <f>SUM(C4:C11)</f>
        <v>19</v>
      </c>
      <c r="D12" s="134" t="str">
        <f xml:space="preserve"> setValueToTime(C12)</f>
        <v>1h 35 min</v>
      </c>
      <c r="E12" s="96"/>
      <c r="F12" s="222"/>
      <c r="G12" s="223"/>
      <c r="H12" s="151"/>
    </row>
    <row r="13" spans="2:8" s="43" customFormat="1" ht="11.6" thickBot="1" x14ac:dyDescent="0.3">
      <c r="B13" s="60"/>
      <c r="C13" s="60"/>
      <c r="D13" s="60"/>
      <c r="E13" s="60"/>
      <c r="F13" s="60"/>
      <c r="G13" s="60"/>
      <c r="H13" s="151"/>
    </row>
    <row r="14" spans="2:8" s="39" customFormat="1" ht="30" customHeight="1" thickBot="1" x14ac:dyDescent="0.3">
      <c r="B14" s="128" t="s">
        <v>34</v>
      </c>
      <c r="C14" s="136">
        <v>26</v>
      </c>
      <c r="D14" s="136"/>
      <c r="E14" s="129" t="s">
        <v>35</v>
      </c>
      <c r="F14" s="130" t="s">
        <v>138</v>
      </c>
      <c r="G14" s="131" t="s">
        <v>48</v>
      </c>
      <c r="H14" s="150"/>
    </row>
    <row r="15" spans="2:8" s="39" customFormat="1" ht="30" customHeight="1" thickBot="1" x14ac:dyDescent="0.3">
      <c r="B15" s="61" t="s">
        <v>36</v>
      </c>
      <c r="C15" s="133" t="s">
        <v>37</v>
      </c>
      <c r="D15" s="132"/>
      <c r="E15" s="61" t="s">
        <v>38</v>
      </c>
      <c r="F15" s="224" t="s">
        <v>39</v>
      </c>
      <c r="G15" s="225"/>
      <c r="H15" s="150"/>
    </row>
    <row r="16" spans="2:8" s="43" customFormat="1" ht="12" x14ac:dyDescent="0.25">
      <c r="B16" s="40" t="s">
        <v>30</v>
      </c>
      <c r="C16" s="41">
        <v>38</v>
      </c>
      <c r="D16" s="124" t="str">
        <f xml:space="preserve"> IF(C16="","",setValueToTime(C16))</f>
        <v>3h 10 min</v>
      </c>
      <c r="E16" t="s">
        <v>240</v>
      </c>
      <c r="F16" s="220"/>
      <c r="G16" s="221"/>
      <c r="H16" s="151"/>
    </row>
    <row r="17" spans="2:8" s="43" customFormat="1" ht="12" x14ac:dyDescent="0.25">
      <c r="B17" s="44"/>
      <c r="C17" s="45"/>
      <c r="D17" s="125" t="str">
        <f t="shared" ref="D17:D23" si="1" xml:space="preserve"> IF(C17="","",setValueToTime(C17))</f>
        <v/>
      </c>
      <c r="E17" s="46"/>
      <c r="F17" s="212"/>
      <c r="G17" s="213"/>
      <c r="H17" s="151"/>
    </row>
    <row r="18" spans="2:8" s="43" customFormat="1" ht="12" x14ac:dyDescent="0.25">
      <c r="B18" s="44"/>
      <c r="C18" s="45"/>
      <c r="D18" s="125" t="str">
        <f t="shared" si="1"/>
        <v/>
      </c>
      <c r="E18" s="46"/>
      <c r="F18" s="212"/>
      <c r="G18" s="213"/>
      <c r="H18" s="151"/>
    </row>
    <row r="19" spans="2:8" s="43" customFormat="1" ht="12" x14ac:dyDescent="0.25">
      <c r="B19" s="44"/>
      <c r="C19" s="45"/>
      <c r="D19" s="125" t="str">
        <f t="shared" si="1"/>
        <v/>
      </c>
      <c r="E19" s="46"/>
      <c r="F19" s="212"/>
      <c r="G19" s="213"/>
      <c r="H19" s="151"/>
    </row>
    <row r="20" spans="2:8" s="43" customFormat="1" ht="12" x14ac:dyDescent="0.25">
      <c r="B20" s="45"/>
      <c r="C20" s="45"/>
      <c r="D20" s="126" t="str">
        <f t="shared" si="1"/>
        <v/>
      </c>
      <c r="E20" s="46"/>
      <c r="F20" s="212"/>
      <c r="G20" s="213"/>
      <c r="H20" s="151"/>
    </row>
    <row r="21" spans="2:8" s="43" customFormat="1" ht="12" x14ac:dyDescent="0.25">
      <c r="B21" s="45"/>
      <c r="C21" s="45"/>
      <c r="D21" s="126" t="str">
        <f t="shared" si="1"/>
        <v/>
      </c>
      <c r="E21" s="46"/>
      <c r="F21" s="212"/>
      <c r="G21" s="213"/>
      <c r="H21" s="151"/>
    </row>
    <row r="22" spans="2:8" s="43" customFormat="1" ht="12" x14ac:dyDescent="0.25">
      <c r="B22" s="45"/>
      <c r="C22" s="45"/>
      <c r="D22" s="126" t="str">
        <f t="shared" si="1"/>
        <v/>
      </c>
      <c r="E22" s="46"/>
      <c r="F22" s="212"/>
      <c r="G22" s="213"/>
      <c r="H22" s="151"/>
    </row>
    <row r="23" spans="2:8" s="43" customFormat="1" ht="12.45" thickBot="1" x14ac:dyDescent="0.3">
      <c r="B23" s="47"/>
      <c r="C23" s="47"/>
      <c r="D23" s="127" t="str">
        <f t="shared" si="1"/>
        <v/>
      </c>
      <c r="E23" s="48"/>
      <c r="F23" s="214"/>
      <c r="G23" s="215"/>
      <c r="H23" s="151"/>
    </row>
    <row r="24" spans="2:8" s="43" customFormat="1" ht="12.9" thickBot="1" x14ac:dyDescent="0.3">
      <c r="B24" s="134" t="s">
        <v>41</v>
      </c>
      <c r="C24" s="66">
        <f>SUM(C16:C23)</f>
        <v>38</v>
      </c>
      <c r="D24" s="134" t="str">
        <f xml:space="preserve"> setValueToTime(C24)</f>
        <v>3h 10 min</v>
      </c>
      <c r="E24" s="96"/>
      <c r="F24" s="222"/>
      <c r="G24" s="223"/>
      <c r="H24" s="151"/>
    </row>
    <row r="25" spans="2:8" s="43" customFormat="1" ht="11.6" thickBot="1" x14ac:dyDescent="0.3">
      <c r="B25" s="60"/>
      <c r="C25" s="60"/>
      <c r="D25" s="60"/>
      <c r="E25" s="60"/>
      <c r="F25" s="60"/>
      <c r="G25" s="60"/>
      <c r="H25" s="151"/>
    </row>
    <row r="26" spans="2:8" s="39" customFormat="1" ht="30" customHeight="1" thickBot="1" x14ac:dyDescent="0.3">
      <c r="B26" s="128" t="s">
        <v>34</v>
      </c>
      <c r="C26" s="136">
        <v>25</v>
      </c>
      <c r="D26" s="136"/>
      <c r="E26" s="129" t="s">
        <v>35</v>
      </c>
      <c r="F26" s="130" t="s">
        <v>138</v>
      </c>
      <c r="G26" s="131" t="s">
        <v>47</v>
      </c>
      <c r="H26" s="150"/>
    </row>
    <row r="27" spans="2:8" s="39" customFormat="1" ht="30" customHeight="1" thickBot="1" x14ac:dyDescent="0.3">
      <c r="B27" s="61" t="s">
        <v>36</v>
      </c>
      <c r="C27" s="133" t="s">
        <v>37</v>
      </c>
      <c r="D27" s="132"/>
      <c r="E27" s="61" t="s">
        <v>38</v>
      </c>
      <c r="F27" s="224" t="s">
        <v>39</v>
      </c>
      <c r="G27" s="225"/>
      <c r="H27" s="150"/>
    </row>
    <row r="28" spans="2:8" s="43" customFormat="1" ht="12" x14ac:dyDescent="0.25">
      <c r="B28" s="40" t="s">
        <v>30</v>
      </c>
      <c r="C28" s="41">
        <v>36</v>
      </c>
      <c r="D28" s="124" t="str">
        <f xml:space="preserve"> IF(C28="","",setValueToTime(C28))</f>
        <v>3h</v>
      </c>
      <c r="E28" t="s">
        <v>238</v>
      </c>
      <c r="F28" s="220"/>
      <c r="G28" s="221"/>
      <c r="H28" s="151"/>
    </row>
    <row r="29" spans="2:8" s="43" customFormat="1" ht="24" x14ac:dyDescent="0.25">
      <c r="B29" s="44" t="s">
        <v>63</v>
      </c>
      <c r="C29" s="45">
        <v>12</v>
      </c>
      <c r="D29" s="125" t="str">
        <f t="shared" ref="D29:D35" si="2" xml:space="preserve"> IF(C29="","",setValueToTime(C29))</f>
        <v>1h</v>
      </c>
      <c r="E29" t="s">
        <v>239</v>
      </c>
      <c r="F29" s="212"/>
      <c r="G29" s="213"/>
      <c r="H29" s="151"/>
    </row>
    <row r="30" spans="2:8" s="43" customFormat="1" ht="12" x14ac:dyDescent="0.25">
      <c r="B30" s="44"/>
      <c r="C30" s="45"/>
      <c r="D30" s="125" t="str">
        <f t="shared" si="2"/>
        <v/>
      </c>
      <c r="E30" s="46"/>
      <c r="F30" s="212"/>
      <c r="G30" s="213"/>
      <c r="H30" s="151"/>
    </row>
    <row r="31" spans="2:8" s="43" customFormat="1" ht="12" x14ac:dyDescent="0.25">
      <c r="B31" s="44"/>
      <c r="C31" s="45"/>
      <c r="D31" s="125" t="str">
        <f t="shared" si="2"/>
        <v/>
      </c>
      <c r="E31" s="46"/>
      <c r="F31" s="212"/>
      <c r="G31" s="213"/>
      <c r="H31" s="151"/>
    </row>
    <row r="32" spans="2:8" s="43" customFormat="1" ht="12" x14ac:dyDescent="0.25">
      <c r="B32" s="45"/>
      <c r="C32" s="45"/>
      <c r="D32" s="126" t="str">
        <f t="shared" si="2"/>
        <v/>
      </c>
      <c r="E32" s="46"/>
      <c r="F32" s="212"/>
      <c r="G32" s="213"/>
      <c r="H32" s="151"/>
    </row>
    <row r="33" spans="2:8" s="43" customFormat="1" ht="12" x14ac:dyDescent="0.25">
      <c r="B33" s="45"/>
      <c r="C33" s="45"/>
      <c r="D33" s="126" t="str">
        <f t="shared" si="2"/>
        <v/>
      </c>
      <c r="E33" s="46"/>
      <c r="F33" s="212"/>
      <c r="G33" s="213"/>
      <c r="H33" s="151"/>
    </row>
    <row r="34" spans="2:8" s="43" customFormat="1" ht="12" x14ac:dyDescent="0.25">
      <c r="B34" s="45"/>
      <c r="C34" s="45"/>
      <c r="D34" s="126" t="str">
        <f t="shared" si="2"/>
        <v/>
      </c>
      <c r="E34" s="46"/>
      <c r="F34" s="212"/>
      <c r="G34" s="213"/>
      <c r="H34" s="151"/>
    </row>
    <row r="35" spans="2:8" s="43" customFormat="1" ht="12.45" thickBot="1" x14ac:dyDescent="0.3">
      <c r="B35" s="47"/>
      <c r="C35" s="47"/>
      <c r="D35" s="127" t="str">
        <f t="shared" si="2"/>
        <v/>
      </c>
      <c r="E35" s="48"/>
      <c r="F35" s="214"/>
      <c r="G35" s="215"/>
      <c r="H35" s="151"/>
    </row>
    <row r="36" spans="2:8" s="43" customFormat="1" ht="12.9" thickBot="1" x14ac:dyDescent="0.3">
      <c r="B36" s="134" t="s">
        <v>41</v>
      </c>
      <c r="C36" s="66">
        <f>SUM(C28:C35)</f>
        <v>48</v>
      </c>
      <c r="D36" s="134" t="str">
        <f xml:space="preserve"> setValueToTime(C36)</f>
        <v>4h</v>
      </c>
      <c r="E36" s="96"/>
      <c r="F36" s="222"/>
      <c r="G36" s="223"/>
      <c r="H36" s="151"/>
    </row>
    <row r="37" spans="2:8" s="43" customFormat="1" ht="11.6" thickBot="1" x14ac:dyDescent="0.3">
      <c r="B37" s="60"/>
      <c r="C37" s="60"/>
      <c r="D37" s="60"/>
      <c r="E37" s="60"/>
      <c r="F37" s="60"/>
      <c r="G37" s="60"/>
      <c r="H37" s="151"/>
    </row>
    <row r="38" spans="2:8" s="39" customFormat="1" ht="30" customHeight="1" thickBot="1" x14ac:dyDescent="0.3">
      <c r="B38" s="128" t="s">
        <v>34</v>
      </c>
      <c r="C38" s="136">
        <v>24</v>
      </c>
      <c r="D38" s="136"/>
      <c r="E38" s="129" t="s">
        <v>35</v>
      </c>
      <c r="F38" s="130" t="s">
        <v>141</v>
      </c>
      <c r="G38" s="131" t="s">
        <v>48</v>
      </c>
      <c r="H38" s="150"/>
    </row>
    <row r="39" spans="2:8" s="39" customFormat="1" ht="30" customHeight="1" thickBot="1" x14ac:dyDescent="0.3">
      <c r="B39" s="61" t="s">
        <v>36</v>
      </c>
      <c r="C39" s="133" t="s">
        <v>37</v>
      </c>
      <c r="D39" s="132"/>
      <c r="E39" s="61" t="s">
        <v>38</v>
      </c>
      <c r="F39" s="224" t="s">
        <v>39</v>
      </c>
      <c r="G39" s="225"/>
      <c r="H39" s="150"/>
    </row>
    <row r="40" spans="2:8" s="43" customFormat="1" ht="24" x14ac:dyDescent="0.25">
      <c r="B40" s="40" t="s">
        <v>71</v>
      </c>
      <c r="C40" s="41">
        <v>9</v>
      </c>
      <c r="D40" s="124" t="str">
        <f xml:space="preserve"> IF(C40="","",setValueToTime(C40))</f>
        <v xml:space="preserve"> 45 min</v>
      </c>
      <c r="E40" t="s">
        <v>236</v>
      </c>
      <c r="F40" s="220"/>
      <c r="G40" s="221"/>
      <c r="H40" s="151"/>
    </row>
    <row r="41" spans="2:8" s="43" customFormat="1" ht="24" x14ac:dyDescent="0.25">
      <c r="B41" s="44" t="s">
        <v>30</v>
      </c>
      <c r="C41" s="45">
        <v>29</v>
      </c>
      <c r="D41" s="125" t="str">
        <f t="shared" ref="D41:D47" si="3" xml:space="preserve"> IF(C41="","",setValueToTime(C41))</f>
        <v>2h 25 min</v>
      </c>
      <c r="E41" s="46" t="s">
        <v>237</v>
      </c>
      <c r="F41" s="212"/>
      <c r="G41" s="213"/>
      <c r="H41" s="151"/>
    </row>
    <row r="42" spans="2:8" s="43" customFormat="1" ht="12" x14ac:dyDescent="0.25">
      <c r="B42" s="44"/>
      <c r="C42" s="45"/>
      <c r="D42" s="125" t="str">
        <f t="shared" si="3"/>
        <v/>
      </c>
      <c r="E42" s="46"/>
      <c r="F42" s="212"/>
      <c r="G42" s="213"/>
      <c r="H42" s="151"/>
    </row>
    <row r="43" spans="2:8" s="43" customFormat="1" ht="12" x14ac:dyDescent="0.25">
      <c r="B43" s="44"/>
      <c r="C43" s="45"/>
      <c r="D43" s="125" t="str">
        <f t="shared" si="3"/>
        <v/>
      </c>
      <c r="E43" s="46"/>
      <c r="F43" s="212"/>
      <c r="G43" s="213"/>
      <c r="H43" s="151"/>
    </row>
    <row r="44" spans="2:8" s="43" customFormat="1" ht="12" x14ac:dyDescent="0.25">
      <c r="B44" s="45"/>
      <c r="C44" s="45"/>
      <c r="D44" s="126" t="str">
        <f t="shared" si="3"/>
        <v/>
      </c>
      <c r="E44" s="46"/>
      <c r="F44" s="212"/>
      <c r="G44" s="213"/>
      <c r="H44" s="151"/>
    </row>
    <row r="45" spans="2:8" s="43" customFormat="1" ht="12" x14ac:dyDescent="0.25">
      <c r="B45" s="45"/>
      <c r="C45" s="45"/>
      <c r="D45" s="126" t="str">
        <f t="shared" si="3"/>
        <v/>
      </c>
      <c r="E45" s="46"/>
      <c r="F45" s="212"/>
      <c r="G45" s="213"/>
      <c r="H45" s="151"/>
    </row>
    <row r="46" spans="2:8" s="43" customFormat="1" ht="12" x14ac:dyDescent="0.25">
      <c r="B46" s="45"/>
      <c r="C46" s="45"/>
      <c r="D46" s="126" t="str">
        <f t="shared" si="3"/>
        <v/>
      </c>
      <c r="E46" s="46"/>
      <c r="F46" s="212"/>
      <c r="G46" s="213"/>
      <c r="H46" s="151"/>
    </row>
    <row r="47" spans="2:8" s="43" customFormat="1" ht="12.45" thickBot="1" x14ac:dyDescent="0.3">
      <c r="B47" s="47"/>
      <c r="C47" s="47"/>
      <c r="D47" s="127" t="str">
        <f t="shared" si="3"/>
        <v/>
      </c>
      <c r="E47" s="48"/>
      <c r="F47" s="214"/>
      <c r="G47" s="215"/>
      <c r="H47" s="151"/>
    </row>
    <row r="48" spans="2:8" s="43" customFormat="1" ht="12.9" thickBot="1" x14ac:dyDescent="0.3">
      <c r="B48" s="134" t="s">
        <v>41</v>
      </c>
      <c r="C48" s="66">
        <f>SUM(C40:C47)</f>
        <v>38</v>
      </c>
      <c r="D48" s="134" t="str">
        <f xml:space="preserve"> setValueToTime(C48)</f>
        <v>3h 10 min</v>
      </c>
      <c r="E48" s="96"/>
      <c r="F48" s="222"/>
      <c r="G48" s="223"/>
      <c r="H48" s="151"/>
    </row>
    <row r="49" spans="2:8" s="43" customFormat="1" ht="11.6" thickBot="1" x14ac:dyDescent="0.3">
      <c r="B49" s="60"/>
      <c r="C49" s="60"/>
      <c r="D49" s="60"/>
      <c r="E49" s="60"/>
      <c r="F49" s="60"/>
      <c r="G49" s="60"/>
      <c r="H49" s="151"/>
    </row>
    <row r="50" spans="2:8" s="39" customFormat="1" ht="30" customHeight="1" thickBot="1" x14ac:dyDescent="0.3">
      <c r="B50" s="128" t="s">
        <v>34</v>
      </c>
      <c r="C50" s="136">
        <v>23</v>
      </c>
      <c r="D50" s="136"/>
      <c r="E50" s="129" t="s">
        <v>35</v>
      </c>
      <c r="F50" s="130" t="s">
        <v>141</v>
      </c>
      <c r="G50" s="131" t="s">
        <v>47</v>
      </c>
      <c r="H50" s="150"/>
    </row>
    <row r="51" spans="2:8" s="39" customFormat="1" ht="30" customHeight="1" thickBot="1" x14ac:dyDescent="0.3">
      <c r="B51" s="61" t="s">
        <v>36</v>
      </c>
      <c r="C51" s="133" t="s">
        <v>37</v>
      </c>
      <c r="D51" s="132"/>
      <c r="E51" s="61" t="s">
        <v>38</v>
      </c>
      <c r="F51" s="224" t="s">
        <v>39</v>
      </c>
      <c r="G51" s="225"/>
      <c r="H51" s="150"/>
    </row>
    <row r="52" spans="2:8" s="43" customFormat="1" ht="12" x14ac:dyDescent="0.25">
      <c r="B52" s="40" t="s">
        <v>65</v>
      </c>
      <c r="C52" s="41">
        <v>8</v>
      </c>
      <c r="D52" s="124" t="str">
        <f xml:space="preserve"> IF(C52="","",setValueToTime(C52))</f>
        <v xml:space="preserve"> 40 min</v>
      </c>
      <c r="E52" t="s">
        <v>234</v>
      </c>
      <c r="F52" s="220"/>
      <c r="G52" s="221"/>
      <c r="H52" s="151"/>
    </row>
    <row r="53" spans="2:8" s="43" customFormat="1" ht="12" x14ac:dyDescent="0.25">
      <c r="B53" s="44" t="s">
        <v>72</v>
      </c>
      <c r="C53" s="45">
        <v>24</v>
      </c>
      <c r="D53" s="125" t="str">
        <f t="shared" ref="D53:D59" si="4" xml:space="preserve"> IF(C53="","",setValueToTime(C53))</f>
        <v>2h</v>
      </c>
      <c r="E53" t="s">
        <v>243</v>
      </c>
      <c r="F53" s="212"/>
      <c r="G53" s="213"/>
      <c r="H53" s="151"/>
    </row>
    <row r="54" spans="2:8" s="43" customFormat="1" ht="24" x14ac:dyDescent="0.25">
      <c r="B54" s="44" t="s">
        <v>62</v>
      </c>
      <c r="C54" s="45">
        <v>16</v>
      </c>
      <c r="D54" s="125" t="str">
        <f t="shared" si="4"/>
        <v>1h 20 min</v>
      </c>
      <c r="E54" t="s">
        <v>235</v>
      </c>
      <c r="F54" s="212"/>
      <c r="G54" s="213"/>
      <c r="H54" s="151"/>
    </row>
    <row r="55" spans="2:8" s="43" customFormat="1" ht="12" x14ac:dyDescent="0.25">
      <c r="B55" s="44"/>
      <c r="C55" s="45"/>
      <c r="D55" s="125" t="str">
        <f t="shared" si="4"/>
        <v/>
      </c>
      <c r="E55" s="46"/>
      <c r="F55" s="212"/>
      <c r="G55" s="213"/>
      <c r="H55" s="151"/>
    </row>
    <row r="56" spans="2:8" s="43" customFormat="1" ht="12" x14ac:dyDescent="0.25">
      <c r="B56" s="45"/>
      <c r="C56" s="45"/>
      <c r="D56" s="126" t="str">
        <f t="shared" si="4"/>
        <v/>
      </c>
      <c r="E56" s="46"/>
      <c r="F56" s="212"/>
      <c r="G56" s="213"/>
      <c r="H56" s="151"/>
    </row>
    <row r="57" spans="2:8" s="43" customFormat="1" ht="12" x14ac:dyDescent="0.25">
      <c r="B57" s="45"/>
      <c r="C57" s="45"/>
      <c r="D57" s="126" t="str">
        <f t="shared" si="4"/>
        <v/>
      </c>
      <c r="E57" s="46"/>
      <c r="F57" s="212"/>
      <c r="G57" s="213"/>
      <c r="H57" s="151"/>
    </row>
    <row r="58" spans="2:8" s="43" customFormat="1" ht="12" x14ac:dyDescent="0.25">
      <c r="B58" s="45"/>
      <c r="C58" s="45"/>
      <c r="D58" s="126" t="str">
        <f t="shared" si="4"/>
        <v/>
      </c>
      <c r="E58" s="46"/>
      <c r="F58" s="212"/>
      <c r="G58" s="213"/>
      <c r="H58" s="151"/>
    </row>
    <row r="59" spans="2:8" s="43" customFormat="1" ht="12.45" thickBot="1" x14ac:dyDescent="0.3">
      <c r="B59" s="47"/>
      <c r="C59" s="47"/>
      <c r="D59" s="127" t="str">
        <f t="shared" si="4"/>
        <v/>
      </c>
      <c r="E59" s="48"/>
      <c r="F59" s="214"/>
      <c r="G59" s="215"/>
      <c r="H59" s="151"/>
    </row>
    <row r="60" spans="2:8" s="43" customFormat="1" ht="12.9" thickBot="1" x14ac:dyDescent="0.3">
      <c r="B60" s="134" t="s">
        <v>41</v>
      </c>
      <c r="C60" s="66">
        <f>SUM(C52:C59)</f>
        <v>48</v>
      </c>
      <c r="D60" s="134" t="str">
        <f xml:space="preserve"> setValueToTime(C60)</f>
        <v>4h</v>
      </c>
      <c r="E60" s="96"/>
      <c r="F60" s="222"/>
      <c r="G60" s="223"/>
      <c r="H60" s="151"/>
    </row>
    <row r="61" spans="2:8" s="43" customFormat="1" ht="11.6" thickBot="1" x14ac:dyDescent="0.3">
      <c r="B61" s="60"/>
      <c r="C61" s="60"/>
      <c r="D61" s="60"/>
      <c r="E61" s="60"/>
      <c r="F61" s="60"/>
      <c r="G61" s="60"/>
      <c r="H61" s="151"/>
    </row>
    <row r="62" spans="2:8" s="39" customFormat="1" ht="30" customHeight="1" thickBot="1" x14ac:dyDescent="0.3">
      <c r="B62" s="128" t="s">
        <v>34</v>
      </c>
      <c r="C62" s="136">
        <v>22</v>
      </c>
      <c r="D62" s="136"/>
      <c r="E62" s="129" t="s">
        <v>35</v>
      </c>
      <c r="F62" s="130" t="s">
        <v>144</v>
      </c>
      <c r="G62" s="131" t="s">
        <v>48</v>
      </c>
      <c r="H62" s="150"/>
    </row>
    <row r="63" spans="2:8" s="39" customFormat="1" ht="30" customHeight="1" thickBot="1" x14ac:dyDescent="0.3">
      <c r="B63" s="61" t="s">
        <v>36</v>
      </c>
      <c r="C63" s="133" t="s">
        <v>37</v>
      </c>
      <c r="D63" s="132"/>
      <c r="E63" s="61" t="s">
        <v>38</v>
      </c>
      <c r="F63" s="224" t="s">
        <v>39</v>
      </c>
      <c r="G63" s="225"/>
      <c r="H63" s="150"/>
    </row>
    <row r="64" spans="2:8" s="43" customFormat="1" ht="12" x14ac:dyDescent="0.25">
      <c r="B64" s="40" t="s">
        <v>30</v>
      </c>
      <c r="C64" s="41">
        <v>35</v>
      </c>
      <c r="D64" s="124" t="str">
        <f xml:space="preserve"> IF(C64="","",setValueToTime(C64))</f>
        <v>2h 55 min</v>
      </c>
      <c r="E64" s="42" t="s">
        <v>233</v>
      </c>
      <c r="F64" s="220"/>
      <c r="G64" s="221"/>
      <c r="H64" s="151"/>
    </row>
    <row r="65" spans="2:8" s="43" customFormat="1" ht="12" x14ac:dyDescent="0.25">
      <c r="B65" s="44" t="s">
        <v>49</v>
      </c>
      <c r="C65" s="45">
        <v>3</v>
      </c>
      <c r="D65" s="125" t="str">
        <f t="shared" ref="D65:D71" si="5" xml:space="preserve"> IF(C65="","",setValueToTime(C65))</f>
        <v xml:space="preserve"> 15 min</v>
      </c>
      <c r="E65" s="46"/>
      <c r="F65" s="212"/>
      <c r="G65" s="213"/>
      <c r="H65" s="151"/>
    </row>
    <row r="66" spans="2:8" s="43" customFormat="1" ht="12" x14ac:dyDescent="0.25">
      <c r="B66" s="44"/>
      <c r="C66" s="45"/>
      <c r="D66" s="125" t="str">
        <f t="shared" si="5"/>
        <v/>
      </c>
      <c r="E66" s="46"/>
      <c r="F66" s="212"/>
      <c r="G66" s="213"/>
      <c r="H66" s="151"/>
    </row>
    <row r="67" spans="2:8" s="43" customFormat="1" ht="12" x14ac:dyDescent="0.25">
      <c r="B67" s="44"/>
      <c r="C67" s="45"/>
      <c r="D67" s="125" t="str">
        <f t="shared" si="5"/>
        <v/>
      </c>
      <c r="E67" s="46"/>
      <c r="F67" s="212"/>
      <c r="G67" s="213"/>
      <c r="H67" s="151"/>
    </row>
    <row r="68" spans="2:8" s="43" customFormat="1" ht="12" x14ac:dyDescent="0.25">
      <c r="B68" s="45"/>
      <c r="C68" s="45"/>
      <c r="D68" s="126" t="str">
        <f t="shared" si="5"/>
        <v/>
      </c>
      <c r="E68" s="46"/>
      <c r="F68" s="212"/>
      <c r="G68" s="213"/>
      <c r="H68" s="151"/>
    </row>
    <row r="69" spans="2:8" s="43" customFormat="1" ht="12" x14ac:dyDescent="0.25">
      <c r="B69" s="45"/>
      <c r="C69" s="45"/>
      <c r="D69" s="126" t="str">
        <f t="shared" si="5"/>
        <v/>
      </c>
      <c r="E69" s="46"/>
      <c r="F69" s="212"/>
      <c r="G69" s="213"/>
      <c r="H69" s="151"/>
    </row>
    <row r="70" spans="2:8" s="43" customFormat="1" ht="12" x14ac:dyDescent="0.25">
      <c r="B70" s="45"/>
      <c r="C70" s="45"/>
      <c r="D70" s="126" t="str">
        <f t="shared" si="5"/>
        <v/>
      </c>
      <c r="E70" s="46"/>
      <c r="F70" s="212"/>
      <c r="G70" s="213"/>
      <c r="H70" s="151"/>
    </row>
    <row r="71" spans="2:8" s="43" customFormat="1" ht="12.45" thickBot="1" x14ac:dyDescent="0.3">
      <c r="B71" s="47"/>
      <c r="C71" s="47"/>
      <c r="D71" s="127" t="str">
        <f t="shared" si="5"/>
        <v/>
      </c>
      <c r="E71" s="48"/>
      <c r="F71" s="214"/>
      <c r="G71" s="215"/>
      <c r="H71" s="151"/>
    </row>
    <row r="72" spans="2:8" s="43" customFormat="1" ht="12.9" thickBot="1" x14ac:dyDescent="0.3">
      <c r="B72" s="134" t="s">
        <v>41</v>
      </c>
      <c r="C72" s="66">
        <f>SUM(C64:C71)</f>
        <v>38</v>
      </c>
      <c r="D72" s="134" t="str">
        <f xml:space="preserve"> setValueToTime(C72)</f>
        <v>3h 10 min</v>
      </c>
      <c r="E72" s="96"/>
      <c r="F72" s="222"/>
      <c r="G72" s="223"/>
      <c r="H72" s="151"/>
    </row>
    <row r="73" spans="2:8" s="43" customFormat="1" ht="11.6" thickBot="1" x14ac:dyDescent="0.3">
      <c r="B73" s="60"/>
      <c r="C73" s="60"/>
      <c r="D73" s="60"/>
      <c r="E73" s="60"/>
      <c r="F73" s="60"/>
      <c r="G73" s="60"/>
      <c r="H73" s="151"/>
    </row>
    <row r="74" spans="2:8" s="39" customFormat="1" ht="30" customHeight="1" thickBot="1" x14ac:dyDescent="0.3">
      <c r="B74" s="128" t="s">
        <v>34</v>
      </c>
      <c r="C74" s="136">
        <v>21</v>
      </c>
      <c r="D74" s="136"/>
      <c r="E74" s="129" t="s">
        <v>35</v>
      </c>
      <c r="F74" s="130" t="s">
        <v>144</v>
      </c>
      <c r="G74" s="131" t="s">
        <v>47</v>
      </c>
      <c r="H74" s="150"/>
    </row>
    <row r="75" spans="2:8" s="39" customFormat="1" ht="30" customHeight="1" thickBot="1" x14ac:dyDescent="0.3">
      <c r="B75" s="61" t="s">
        <v>36</v>
      </c>
      <c r="C75" s="133" t="s">
        <v>37</v>
      </c>
      <c r="D75" s="132"/>
      <c r="E75" s="61" t="s">
        <v>38</v>
      </c>
      <c r="F75" s="224" t="s">
        <v>39</v>
      </c>
      <c r="G75" s="225"/>
      <c r="H75" s="150"/>
    </row>
    <row r="76" spans="2:8" s="43" customFormat="1" ht="24" x14ac:dyDescent="0.25">
      <c r="B76" s="40" t="s">
        <v>62</v>
      </c>
      <c r="C76" s="41">
        <v>22</v>
      </c>
      <c r="D76" s="124" t="str">
        <f xml:space="preserve"> IF(C76="","",setValueToTime(C76))</f>
        <v>1h 50 min</v>
      </c>
      <c r="E76" s="42" t="s">
        <v>254</v>
      </c>
      <c r="F76" s="220"/>
      <c r="G76" s="221"/>
      <c r="H76" s="151"/>
    </row>
    <row r="77" spans="2:8" s="43" customFormat="1" ht="24" x14ac:dyDescent="0.25">
      <c r="B77" s="44" t="s">
        <v>63</v>
      </c>
      <c r="C77" s="45">
        <v>26</v>
      </c>
      <c r="D77" s="125" t="str">
        <f t="shared" ref="D77:D83" si="6" xml:space="preserve"> IF(C77="","",setValueToTime(C77))</f>
        <v>2h 10 min</v>
      </c>
      <c r="E77" s="46" t="s">
        <v>232</v>
      </c>
      <c r="F77" s="212"/>
      <c r="G77" s="213"/>
      <c r="H77" s="151"/>
    </row>
    <row r="78" spans="2:8" s="43" customFormat="1" ht="12" x14ac:dyDescent="0.25">
      <c r="B78" s="44"/>
      <c r="C78" s="45"/>
      <c r="D78" s="125" t="str">
        <f t="shared" si="6"/>
        <v/>
      </c>
      <c r="E78" s="46"/>
      <c r="F78" s="212"/>
      <c r="G78" s="213"/>
      <c r="H78" s="151"/>
    </row>
    <row r="79" spans="2:8" s="43" customFormat="1" ht="12" x14ac:dyDescent="0.25">
      <c r="B79" s="44"/>
      <c r="C79" s="45"/>
      <c r="D79" s="125" t="str">
        <f t="shared" si="6"/>
        <v/>
      </c>
      <c r="E79" s="46"/>
      <c r="F79" s="212"/>
      <c r="G79" s="213"/>
      <c r="H79" s="151"/>
    </row>
    <row r="80" spans="2:8" s="43" customFormat="1" ht="12" x14ac:dyDescent="0.25">
      <c r="B80" s="45"/>
      <c r="C80" s="45"/>
      <c r="D80" s="126" t="str">
        <f t="shared" si="6"/>
        <v/>
      </c>
      <c r="E80" s="46"/>
      <c r="F80" s="212"/>
      <c r="G80" s="213"/>
      <c r="H80" s="151"/>
    </row>
    <row r="81" spans="2:8" s="43" customFormat="1" ht="12" x14ac:dyDescent="0.25">
      <c r="B81" s="45"/>
      <c r="C81" s="45"/>
      <c r="D81" s="126" t="str">
        <f t="shared" si="6"/>
        <v/>
      </c>
      <c r="E81" s="46"/>
      <c r="F81" s="212"/>
      <c r="G81" s="213"/>
      <c r="H81" s="151"/>
    </row>
    <row r="82" spans="2:8" s="43" customFormat="1" ht="12" x14ac:dyDescent="0.25">
      <c r="B82" s="45"/>
      <c r="C82" s="45"/>
      <c r="D82" s="126" t="str">
        <f t="shared" si="6"/>
        <v/>
      </c>
      <c r="E82" s="46"/>
      <c r="F82" s="212"/>
      <c r="G82" s="213"/>
      <c r="H82" s="151"/>
    </row>
    <row r="83" spans="2:8" s="43" customFormat="1" ht="12.45" thickBot="1" x14ac:dyDescent="0.3">
      <c r="B83" s="47"/>
      <c r="C83" s="47"/>
      <c r="D83" s="127" t="str">
        <f t="shared" si="6"/>
        <v/>
      </c>
      <c r="E83" s="48"/>
      <c r="F83" s="214"/>
      <c r="G83" s="215"/>
      <c r="H83" s="151"/>
    </row>
    <row r="84" spans="2:8" s="43" customFormat="1" ht="12.9" thickBot="1" x14ac:dyDescent="0.3">
      <c r="B84" s="134" t="s">
        <v>41</v>
      </c>
      <c r="C84" s="66">
        <f>SUM(C76:C83)</f>
        <v>48</v>
      </c>
      <c r="D84" s="134" t="str">
        <f xml:space="preserve"> setValueToTime(C84)</f>
        <v>4h</v>
      </c>
      <c r="E84" s="96"/>
      <c r="F84" s="222"/>
      <c r="G84" s="223"/>
      <c r="H84" s="151"/>
    </row>
    <row r="85" spans="2:8" s="43" customFormat="1" ht="11.6" thickBot="1" x14ac:dyDescent="0.3">
      <c r="B85" s="60"/>
      <c r="C85" s="60"/>
      <c r="D85" s="60"/>
      <c r="E85" s="60"/>
      <c r="F85" s="60"/>
      <c r="G85" s="60"/>
      <c r="H85" s="151"/>
    </row>
    <row r="86" spans="2:8" s="39" customFormat="1" ht="30" customHeight="1" thickBot="1" x14ac:dyDescent="0.3">
      <c r="B86" s="128" t="s">
        <v>34</v>
      </c>
      <c r="C86" s="136">
        <v>20</v>
      </c>
      <c r="D86" s="136"/>
      <c r="E86" s="129" t="s">
        <v>35</v>
      </c>
      <c r="F86" s="130" t="s">
        <v>147</v>
      </c>
      <c r="G86" s="131" t="s">
        <v>48</v>
      </c>
      <c r="H86" s="150"/>
    </row>
    <row r="87" spans="2:8" s="39" customFormat="1" ht="30" customHeight="1" thickBot="1" x14ac:dyDescent="0.3">
      <c r="B87" s="61" t="s">
        <v>36</v>
      </c>
      <c r="C87" s="133" t="s">
        <v>37</v>
      </c>
      <c r="D87" s="132"/>
      <c r="E87" s="61" t="s">
        <v>38</v>
      </c>
      <c r="F87" s="224" t="s">
        <v>39</v>
      </c>
      <c r="G87" s="225"/>
      <c r="H87" s="150"/>
    </row>
    <row r="88" spans="2:8" s="43" customFormat="1" ht="24" x14ac:dyDescent="0.25">
      <c r="B88" s="40" t="s">
        <v>62</v>
      </c>
      <c r="C88" s="41">
        <v>14</v>
      </c>
      <c r="D88" s="124" t="str">
        <f xml:space="preserve"> IF(C88="","",setValueToTime(C88))</f>
        <v>1h 10 min</v>
      </c>
      <c r="E88" s="42" t="s">
        <v>231</v>
      </c>
      <c r="F88" s="220"/>
      <c r="G88" s="221"/>
      <c r="H88" s="151"/>
    </row>
    <row r="89" spans="2:8" s="43" customFormat="1" ht="48" x14ac:dyDescent="0.25">
      <c r="B89" s="44" t="s">
        <v>63</v>
      </c>
      <c r="C89" s="45">
        <v>24</v>
      </c>
      <c r="D89" s="125" t="str">
        <f t="shared" ref="D89:D95" si="7" xml:space="preserve"> IF(C89="","",setValueToTime(C89))</f>
        <v>2h</v>
      </c>
      <c r="E89" s="46" t="s">
        <v>230</v>
      </c>
      <c r="F89" s="212"/>
      <c r="G89" s="213"/>
      <c r="H89" s="151"/>
    </row>
    <row r="90" spans="2:8" s="43" customFormat="1" ht="12" x14ac:dyDescent="0.25">
      <c r="B90" s="44"/>
      <c r="C90" s="45"/>
      <c r="D90" s="125" t="str">
        <f t="shared" si="7"/>
        <v/>
      </c>
      <c r="E90" s="46"/>
      <c r="F90" s="212"/>
      <c r="G90" s="213"/>
      <c r="H90" s="151"/>
    </row>
    <row r="91" spans="2:8" s="43" customFormat="1" ht="12" x14ac:dyDescent="0.25">
      <c r="B91" s="44"/>
      <c r="C91" s="45"/>
      <c r="D91" s="125" t="str">
        <f t="shared" si="7"/>
        <v/>
      </c>
      <c r="E91" s="46"/>
      <c r="F91" s="212"/>
      <c r="G91" s="213"/>
      <c r="H91" s="151"/>
    </row>
    <row r="92" spans="2:8" s="43" customFormat="1" ht="12" x14ac:dyDescent="0.25">
      <c r="B92" s="45"/>
      <c r="C92" s="45"/>
      <c r="D92" s="126" t="str">
        <f t="shared" si="7"/>
        <v/>
      </c>
      <c r="E92" s="46"/>
      <c r="F92" s="212"/>
      <c r="G92" s="213"/>
      <c r="H92" s="151"/>
    </row>
    <row r="93" spans="2:8" s="43" customFormat="1" ht="12" x14ac:dyDescent="0.25">
      <c r="B93" s="45"/>
      <c r="C93" s="45"/>
      <c r="D93" s="126" t="str">
        <f t="shared" si="7"/>
        <v/>
      </c>
      <c r="E93" s="46"/>
      <c r="F93" s="212"/>
      <c r="G93" s="213"/>
      <c r="H93" s="151"/>
    </row>
    <row r="94" spans="2:8" s="43" customFormat="1" ht="12" x14ac:dyDescent="0.25">
      <c r="B94" s="45"/>
      <c r="C94" s="45"/>
      <c r="D94" s="126" t="str">
        <f t="shared" si="7"/>
        <v/>
      </c>
      <c r="E94" s="46"/>
      <c r="F94" s="212"/>
      <c r="G94" s="213"/>
      <c r="H94" s="151"/>
    </row>
    <row r="95" spans="2:8" s="43" customFormat="1" ht="12.45" thickBot="1" x14ac:dyDescent="0.3">
      <c r="B95" s="47"/>
      <c r="C95" s="47"/>
      <c r="D95" s="127" t="str">
        <f t="shared" si="7"/>
        <v/>
      </c>
      <c r="E95" s="48"/>
      <c r="F95" s="214"/>
      <c r="G95" s="215"/>
      <c r="H95" s="151"/>
    </row>
    <row r="96" spans="2:8" s="43" customFormat="1" ht="12.9" thickBot="1" x14ac:dyDescent="0.3">
      <c r="B96" s="134" t="s">
        <v>41</v>
      </c>
      <c r="C96" s="66">
        <f>SUM(C88:C95)</f>
        <v>38</v>
      </c>
      <c r="D96" s="134" t="str">
        <f xml:space="preserve"> setValueToTime(C96)</f>
        <v>3h 10 min</v>
      </c>
      <c r="E96" s="96"/>
      <c r="F96" s="222"/>
      <c r="G96" s="223"/>
      <c r="H96" s="151"/>
    </row>
    <row r="97" spans="2:8" s="43" customFormat="1" ht="11.6" thickBot="1" x14ac:dyDescent="0.3">
      <c r="B97" s="60"/>
      <c r="C97" s="60"/>
      <c r="D97" s="60"/>
      <c r="E97" s="60"/>
      <c r="F97" s="60"/>
      <c r="G97" s="60"/>
      <c r="H97" s="151"/>
    </row>
    <row r="98" spans="2:8" s="39" customFormat="1" ht="30" customHeight="1" thickBot="1" x14ac:dyDescent="0.3">
      <c r="B98" s="128" t="s">
        <v>34</v>
      </c>
      <c r="C98" s="136">
        <v>19</v>
      </c>
      <c r="D98" s="136"/>
      <c r="E98" s="129" t="s">
        <v>35</v>
      </c>
      <c r="F98" s="130" t="s">
        <v>147</v>
      </c>
      <c r="G98" s="131" t="s">
        <v>47</v>
      </c>
      <c r="H98" s="150"/>
    </row>
    <row r="99" spans="2:8" s="39" customFormat="1" ht="30" customHeight="1" thickBot="1" x14ac:dyDescent="0.3">
      <c r="B99" s="61" t="s">
        <v>36</v>
      </c>
      <c r="C99" s="133" t="s">
        <v>37</v>
      </c>
      <c r="D99" s="132"/>
      <c r="E99" s="61" t="s">
        <v>38</v>
      </c>
      <c r="F99" s="224" t="s">
        <v>39</v>
      </c>
      <c r="G99" s="225"/>
      <c r="H99" s="150"/>
    </row>
    <row r="100" spans="2:8" s="43" customFormat="1" ht="24" x14ac:dyDescent="0.25">
      <c r="B100" s="40" t="s">
        <v>62</v>
      </c>
      <c r="C100" s="41">
        <v>4</v>
      </c>
      <c r="D100" s="124" t="str">
        <f xml:space="preserve"> IF(C100="","",setValueToTime(C100))</f>
        <v xml:space="preserve"> 20 min</v>
      </c>
      <c r="E100" s="42" t="s">
        <v>244</v>
      </c>
      <c r="F100" s="220"/>
      <c r="G100" s="221"/>
      <c r="H100" s="151"/>
    </row>
    <row r="101" spans="2:8" s="43" customFormat="1" ht="24" x14ac:dyDescent="0.25">
      <c r="B101" s="44" t="s">
        <v>63</v>
      </c>
      <c r="C101" s="45">
        <v>12</v>
      </c>
      <c r="D101" s="125" t="str">
        <f t="shared" ref="D101:D107" si="8" xml:space="preserve"> IF(C101="","",setValueToTime(C101))</f>
        <v>1h</v>
      </c>
      <c r="E101" s="46" t="s">
        <v>229</v>
      </c>
      <c r="F101" s="212"/>
      <c r="G101" s="213"/>
      <c r="H101" s="151"/>
    </row>
    <row r="102" spans="2:8" s="43" customFormat="1" ht="24" x14ac:dyDescent="0.25">
      <c r="B102" s="44" t="s">
        <v>62</v>
      </c>
      <c r="C102" s="45">
        <v>32</v>
      </c>
      <c r="D102" s="125" t="str">
        <f t="shared" si="8"/>
        <v>2h 40 min</v>
      </c>
      <c r="E102" s="46" t="s">
        <v>245</v>
      </c>
      <c r="F102" s="212"/>
      <c r="G102" s="213"/>
      <c r="H102" s="151"/>
    </row>
    <row r="103" spans="2:8" s="43" customFormat="1" ht="12" x14ac:dyDescent="0.25">
      <c r="B103" s="44"/>
      <c r="C103" s="45"/>
      <c r="D103" s="125" t="str">
        <f t="shared" si="8"/>
        <v/>
      </c>
      <c r="E103" s="46"/>
      <c r="F103" s="212"/>
      <c r="G103" s="213"/>
      <c r="H103" s="151"/>
    </row>
    <row r="104" spans="2:8" s="43" customFormat="1" ht="12" x14ac:dyDescent="0.25">
      <c r="B104" s="45"/>
      <c r="C104" s="45"/>
      <c r="D104" s="126" t="str">
        <f t="shared" si="8"/>
        <v/>
      </c>
      <c r="E104" s="46"/>
      <c r="F104" s="212"/>
      <c r="G104" s="213"/>
      <c r="H104" s="151"/>
    </row>
    <row r="105" spans="2:8" s="43" customFormat="1" ht="12" x14ac:dyDescent="0.25">
      <c r="B105" s="45"/>
      <c r="C105" s="45"/>
      <c r="D105" s="126" t="str">
        <f t="shared" si="8"/>
        <v/>
      </c>
      <c r="E105" s="46"/>
      <c r="F105" s="212"/>
      <c r="G105" s="213"/>
      <c r="H105" s="151"/>
    </row>
    <row r="106" spans="2:8" s="43" customFormat="1" ht="12" x14ac:dyDescent="0.25">
      <c r="B106" s="45"/>
      <c r="C106" s="45"/>
      <c r="D106" s="126" t="str">
        <f t="shared" si="8"/>
        <v/>
      </c>
      <c r="E106" s="46"/>
      <c r="F106" s="212"/>
      <c r="G106" s="213"/>
      <c r="H106" s="151"/>
    </row>
    <row r="107" spans="2:8" s="43" customFormat="1" ht="12.45" thickBot="1" x14ac:dyDescent="0.3">
      <c r="B107" s="47"/>
      <c r="C107" s="47"/>
      <c r="D107" s="127" t="str">
        <f t="shared" si="8"/>
        <v/>
      </c>
      <c r="E107" s="48"/>
      <c r="F107" s="214"/>
      <c r="G107" s="215"/>
      <c r="H107" s="151"/>
    </row>
    <row r="108" spans="2:8" s="43" customFormat="1" ht="12.9" thickBot="1" x14ac:dyDescent="0.3">
      <c r="B108" s="134" t="s">
        <v>41</v>
      </c>
      <c r="C108" s="66">
        <f>SUM(C100:C107)</f>
        <v>48</v>
      </c>
      <c r="D108" s="134" t="str">
        <f xml:space="preserve"> setValueToTime(C108)</f>
        <v>4h</v>
      </c>
      <c r="E108" s="96"/>
      <c r="F108" s="222"/>
      <c r="G108" s="223"/>
      <c r="H108" s="151"/>
    </row>
    <row r="109" spans="2:8" s="43" customFormat="1" ht="11.6" thickBot="1" x14ac:dyDescent="0.3">
      <c r="B109" s="60"/>
      <c r="C109" s="60"/>
      <c r="D109" s="60"/>
      <c r="E109" s="60"/>
      <c r="F109" s="60"/>
      <c r="G109" s="60"/>
      <c r="H109" s="151"/>
    </row>
    <row r="110" spans="2:8" s="39" customFormat="1" ht="30" customHeight="1" thickBot="1" x14ac:dyDescent="0.3">
      <c r="B110" s="128" t="s">
        <v>34</v>
      </c>
      <c r="C110" s="136">
        <v>18</v>
      </c>
      <c r="D110" s="136"/>
      <c r="E110" s="129" t="s">
        <v>35</v>
      </c>
      <c r="F110" s="130" t="s">
        <v>150</v>
      </c>
      <c r="G110" s="131" t="s">
        <v>48</v>
      </c>
      <c r="H110" s="150"/>
    </row>
    <row r="111" spans="2:8" s="39" customFormat="1" ht="30" customHeight="1" thickBot="1" x14ac:dyDescent="0.3">
      <c r="B111" s="61" t="s">
        <v>36</v>
      </c>
      <c r="C111" s="133" t="s">
        <v>37</v>
      </c>
      <c r="D111" s="132"/>
      <c r="E111" s="61" t="s">
        <v>38</v>
      </c>
      <c r="F111" s="224" t="s">
        <v>39</v>
      </c>
      <c r="G111" s="225"/>
      <c r="H111" s="150"/>
    </row>
    <row r="112" spans="2:8" s="43" customFormat="1" ht="48" x14ac:dyDescent="0.25">
      <c r="B112" s="40" t="s">
        <v>62</v>
      </c>
      <c r="C112" s="41">
        <v>12</v>
      </c>
      <c r="D112" s="124" t="str">
        <f xml:space="preserve"> IF(C112="","",setValueToTime(C112))</f>
        <v>1h</v>
      </c>
      <c r="E112" s="42" t="s">
        <v>246</v>
      </c>
      <c r="F112" s="220"/>
      <c r="G112" s="221"/>
      <c r="H112" s="151"/>
    </row>
    <row r="113" spans="2:8" s="43" customFormat="1" ht="24" x14ac:dyDescent="0.25">
      <c r="B113" s="44" t="s">
        <v>63</v>
      </c>
      <c r="C113" s="45">
        <v>8</v>
      </c>
      <c r="D113" s="125" t="str">
        <f t="shared" ref="D113:D119" si="9" xml:space="preserve"> IF(C113="","",setValueToTime(C113))</f>
        <v xml:space="preserve"> 40 min</v>
      </c>
      <c r="E113" t="s">
        <v>228</v>
      </c>
      <c r="F113" s="212"/>
      <c r="G113" s="213"/>
      <c r="H113" s="151"/>
    </row>
    <row r="114" spans="2:8" s="43" customFormat="1" ht="24" x14ac:dyDescent="0.25">
      <c r="B114" s="44" t="s">
        <v>62</v>
      </c>
      <c r="C114" s="45">
        <v>18</v>
      </c>
      <c r="D114" s="125" t="str">
        <f t="shared" si="9"/>
        <v>1h 30 min</v>
      </c>
      <c r="E114" s="46" t="s">
        <v>247</v>
      </c>
      <c r="F114" s="212"/>
      <c r="G114" s="213"/>
      <c r="H114" s="151"/>
    </row>
    <row r="115" spans="2:8" s="43" customFormat="1" ht="12" x14ac:dyDescent="0.25">
      <c r="B115" s="44"/>
      <c r="C115" s="45"/>
      <c r="D115" s="125" t="str">
        <f t="shared" si="9"/>
        <v/>
      </c>
      <c r="E115" s="46"/>
      <c r="F115" s="212"/>
      <c r="G115" s="213"/>
      <c r="H115" s="151"/>
    </row>
    <row r="116" spans="2:8" s="43" customFormat="1" ht="12" x14ac:dyDescent="0.25">
      <c r="B116" s="45"/>
      <c r="C116" s="45"/>
      <c r="D116" s="126" t="str">
        <f t="shared" si="9"/>
        <v/>
      </c>
      <c r="E116" s="46"/>
      <c r="F116" s="212"/>
      <c r="G116" s="213"/>
      <c r="H116" s="151"/>
    </row>
    <row r="117" spans="2:8" s="43" customFormat="1" ht="12" x14ac:dyDescent="0.25">
      <c r="B117" s="45"/>
      <c r="C117" s="45"/>
      <c r="D117" s="126" t="str">
        <f t="shared" si="9"/>
        <v/>
      </c>
      <c r="E117" s="46"/>
      <c r="F117" s="212"/>
      <c r="G117" s="213"/>
      <c r="H117" s="151"/>
    </row>
    <row r="118" spans="2:8" s="43" customFormat="1" ht="12" x14ac:dyDescent="0.25">
      <c r="B118" s="45"/>
      <c r="C118" s="45"/>
      <c r="D118" s="126" t="str">
        <f t="shared" si="9"/>
        <v/>
      </c>
      <c r="E118" s="46"/>
      <c r="F118" s="212"/>
      <c r="G118" s="213"/>
      <c r="H118" s="151"/>
    </row>
    <row r="119" spans="2:8" s="43" customFormat="1" ht="12.45" thickBot="1" x14ac:dyDescent="0.3">
      <c r="B119" s="47"/>
      <c r="C119" s="47"/>
      <c r="D119" s="127" t="str">
        <f t="shared" si="9"/>
        <v/>
      </c>
      <c r="E119" s="48"/>
      <c r="F119" s="214"/>
      <c r="G119" s="215"/>
      <c r="H119" s="151"/>
    </row>
    <row r="120" spans="2:8" s="43" customFormat="1" ht="12.9" thickBot="1" x14ac:dyDescent="0.3">
      <c r="B120" s="134" t="s">
        <v>41</v>
      </c>
      <c r="C120" s="66">
        <f>SUM(C112:C119)</f>
        <v>38</v>
      </c>
      <c r="D120" s="134" t="str">
        <f xml:space="preserve"> setValueToTime(C120)</f>
        <v>3h 10 min</v>
      </c>
      <c r="E120" s="96"/>
      <c r="F120" s="222"/>
      <c r="G120" s="223"/>
      <c r="H120" s="151"/>
    </row>
    <row r="121" spans="2:8" s="43" customFormat="1" ht="11.6" thickBot="1" x14ac:dyDescent="0.3">
      <c r="B121" s="60"/>
      <c r="C121" s="60"/>
      <c r="D121" s="60"/>
      <c r="E121" s="60"/>
      <c r="F121" s="60"/>
      <c r="G121" s="60"/>
      <c r="H121" s="151"/>
    </row>
    <row r="122" spans="2:8" s="39" customFormat="1" ht="30" customHeight="1" thickBot="1" x14ac:dyDescent="0.3">
      <c r="B122" s="128" t="s">
        <v>34</v>
      </c>
      <c r="C122" s="136">
        <v>17</v>
      </c>
      <c r="D122" s="136"/>
      <c r="E122" s="129" t="s">
        <v>35</v>
      </c>
      <c r="F122" s="130" t="s">
        <v>150</v>
      </c>
      <c r="G122" s="131" t="s">
        <v>47</v>
      </c>
      <c r="H122" s="150"/>
    </row>
    <row r="123" spans="2:8" s="39" customFormat="1" ht="30" customHeight="1" thickBot="1" x14ac:dyDescent="0.3">
      <c r="B123" s="61" t="s">
        <v>36</v>
      </c>
      <c r="C123" s="133" t="s">
        <v>37</v>
      </c>
      <c r="D123" s="132"/>
      <c r="E123" s="61" t="s">
        <v>38</v>
      </c>
      <c r="F123" s="224" t="s">
        <v>39</v>
      </c>
      <c r="G123" s="225"/>
      <c r="H123" s="150"/>
    </row>
    <row r="124" spans="2:8" s="43" customFormat="1" ht="24" x14ac:dyDescent="0.25">
      <c r="B124" s="40" t="s">
        <v>62</v>
      </c>
      <c r="C124" s="41">
        <v>29</v>
      </c>
      <c r="D124" s="124" t="str">
        <f xml:space="preserve"> IF(C124="","",setValueToTime(C124))</f>
        <v>2h 25 min</v>
      </c>
      <c r="E124" s="42" t="s">
        <v>226</v>
      </c>
      <c r="F124" s="220"/>
      <c r="G124" s="221"/>
      <c r="H124" s="151"/>
    </row>
    <row r="125" spans="2:8" s="43" customFormat="1" ht="24" x14ac:dyDescent="0.25">
      <c r="B125" s="44" t="s">
        <v>63</v>
      </c>
      <c r="C125" s="45">
        <v>12</v>
      </c>
      <c r="D125" s="125" t="str">
        <f t="shared" ref="D125:D131" si="10" xml:space="preserve"> IF(C125="","",setValueToTime(C125))</f>
        <v>1h</v>
      </c>
      <c r="E125" s="46" t="s">
        <v>227</v>
      </c>
      <c r="F125" s="212"/>
      <c r="G125" s="213"/>
      <c r="H125" s="151"/>
    </row>
    <row r="126" spans="2:8" s="43" customFormat="1" ht="12" x14ac:dyDescent="0.25">
      <c r="B126" s="44" t="s">
        <v>73</v>
      </c>
      <c r="C126" s="45">
        <v>3</v>
      </c>
      <c r="D126" s="125" t="str">
        <f t="shared" si="10"/>
        <v xml:space="preserve"> 15 min</v>
      </c>
      <c r="E126" s="46" t="s">
        <v>225</v>
      </c>
      <c r="F126" s="212"/>
      <c r="G126" s="213"/>
      <c r="H126" s="151"/>
    </row>
    <row r="127" spans="2:8" s="43" customFormat="1" ht="12" x14ac:dyDescent="0.25">
      <c r="B127" s="44" t="s">
        <v>60</v>
      </c>
      <c r="C127" s="45">
        <v>4</v>
      </c>
      <c r="D127" s="125" t="str">
        <f t="shared" si="10"/>
        <v xml:space="preserve"> 20 min</v>
      </c>
      <c r="E127" s="46" t="s">
        <v>248</v>
      </c>
      <c r="F127" s="212"/>
      <c r="G127" s="213"/>
      <c r="H127" s="151"/>
    </row>
    <row r="128" spans="2:8" s="43" customFormat="1" ht="12" x14ac:dyDescent="0.25">
      <c r="B128" s="45"/>
      <c r="C128" s="45"/>
      <c r="D128" s="126" t="str">
        <f t="shared" si="10"/>
        <v/>
      </c>
      <c r="E128" s="46"/>
      <c r="F128" s="212"/>
      <c r="G128" s="213"/>
      <c r="H128" s="151"/>
    </row>
    <row r="129" spans="2:8" s="43" customFormat="1" ht="12" x14ac:dyDescent="0.25">
      <c r="B129" s="45"/>
      <c r="C129" s="45"/>
      <c r="D129" s="126" t="str">
        <f t="shared" si="10"/>
        <v/>
      </c>
      <c r="E129" s="46"/>
      <c r="F129" s="212"/>
      <c r="G129" s="213"/>
      <c r="H129" s="151"/>
    </row>
    <row r="130" spans="2:8" s="43" customFormat="1" ht="12" x14ac:dyDescent="0.25">
      <c r="B130" s="45"/>
      <c r="C130" s="45"/>
      <c r="D130" s="126" t="str">
        <f t="shared" si="10"/>
        <v/>
      </c>
      <c r="E130" s="46"/>
      <c r="F130" s="212"/>
      <c r="G130" s="213"/>
      <c r="H130" s="151"/>
    </row>
    <row r="131" spans="2:8" s="43" customFormat="1" ht="12.45" thickBot="1" x14ac:dyDescent="0.3">
      <c r="B131" s="47"/>
      <c r="C131" s="47"/>
      <c r="D131" s="127" t="str">
        <f t="shared" si="10"/>
        <v/>
      </c>
      <c r="E131" s="48"/>
      <c r="F131" s="214"/>
      <c r="G131" s="215"/>
      <c r="H131" s="151"/>
    </row>
    <row r="132" spans="2:8" s="43" customFormat="1" ht="12.9" thickBot="1" x14ac:dyDescent="0.3">
      <c r="B132" s="134" t="s">
        <v>41</v>
      </c>
      <c r="C132" s="66">
        <f>SUM(C124:C131)</f>
        <v>48</v>
      </c>
      <c r="D132" s="134" t="str">
        <f xml:space="preserve"> setValueToTime(C132)</f>
        <v>4h</v>
      </c>
      <c r="E132" s="96"/>
      <c r="F132" s="222"/>
      <c r="G132" s="223"/>
      <c r="H132" s="151"/>
    </row>
    <row r="133" spans="2:8" s="43" customFormat="1" ht="11.6" thickBot="1" x14ac:dyDescent="0.3">
      <c r="B133" s="60"/>
      <c r="C133" s="60"/>
      <c r="D133" s="60"/>
      <c r="E133" s="60"/>
      <c r="F133" s="60"/>
      <c r="G133" s="60"/>
      <c r="H133" s="151"/>
    </row>
    <row r="134" spans="2:8" s="39" customFormat="1" ht="30" customHeight="1" thickBot="1" x14ac:dyDescent="0.3">
      <c r="B134" s="128" t="s">
        <v>34</v>
      </c>
      <c r="C134" s="136">
        <v>16</v>
      </c>
      <c r="D134" s="136"/>
      <c r="E134" s="129" t="s">
        <v>35</v>
      </c>
      <c r="F134" s="130" t="s">
        <v>153</v>
      </c>
      <c r="G134" s="131" t="s">
        <v>48</v>
      </c>
      <c r="H134" s="150"/>
    </row>
    <row r="135" spans="2:8" s="39" customFormat="1" ht="30" customHeight="1" thickBot="1" x14ac:dyDescent="0.3">
      <c r="B135" s="61" t="s">
        <v>36</v>
      </c>
      <c r="C135" s="133" t="s">
        <v>37</v>
      </c>
      <c r="D135" s="132"/>
      <c r="E135" s="61" t="s">
        <v>38</v>
      </c>
      <c r="F135" s="224" t="s">
        <v>39</v>
      </c>
      <c r="G135" s="225"/>
      <c r="H135" s="150"/>
    </row>
    <row r="136" spans="2:8" s="43" customFormat="1" ht="12" x14ac:dyDescent="0.25">
      <c r="B136" s="40" t="s">
        <v>67</v>
      </c>
      <c r="C136" s="41">
        <v>16</v>
      </c>
      <c r="D136" s="124" t="str">
        <f xml:space="preserve"> IF(C136="","",setValueToTime(C136))</f>
        <v>1h 20 min</v>
      </c>
      <c r="E136" s="163" t="s">
        <v>223</v>
      </c>
      <c r="F136" s="220"/>
      <c r="G136" s="221"/>
      <c r="H136" s="151"/>
    </row>
    <row r="137" spans="2:8" s="43" customFormat="1" ht="12" x14ac:dyDescent="0.25">
      <c r="B137" s="44" t="s">
        <v>30</v>
      </c>
      <c r="C137" s="45">
        <v>12</v>
      </c>
      <c r="D137" s="125" t="str">
        <f t="shared" ref="D137:D143" si="11" xml:space="preserve"> IF(C137="","",setValueToTime(C137))</f>
        <v>1h</v>
      </c>
      <c r="E137" t="s">
        <v>224</v>
      </c>
      <c r="F137" s="212"/>
      <c r="G137" s="213"/>
      <c r="H137" s="151"/>
    </row>
    <row r="138" spans="2:8" s="43" customFormat="1" ht="24" x14ac:dyDescent="0.25">
      <c r="B138" s="44" t="s">
        <v>71</v>
      </c>
      <c r="C138" s="45">
        <v>10</v>
      </c>
      <c r="D138" s="125" t="str">
        <f t="shared" si="11"/>
        <v xml:space="preserve"> 50 min</v>
      </c>
      <c r="E138" s="46" t="s">
        <v>255</v>
      </c>
      <c r="F138" s="212"/>
      <c r="G138" s="213"/>
      <c r="H138" s="151"/>
    </row>
    <row r="139" spans="2:8" s="43" customFormat="1" ht="12" x14ac:dyDescent="0.25">
      <c r="B139" s="44"/>
      <c r="C139" s="45"/>
      <c r="D139" s="125" t="str">
        <f t="shared" si="11"/>
        <v/>
      </c>
      <c r="E139" s="46"/>
      <c r="F139" s="212"/>
      <c r="G139" s="213"/>
      <c r="H139" s="151"/>
    </row>
    <row r="140" spans="2:8" s="43" customFormat="1" ht="12" x14ac:dyDescent="0.25">
      <c r="B140" s="45"/>
      <c r="C140" s="45"/>
      <c r="D140" s="126" t="str">
        <f t="shared" si="11"/>
        <v/>
      </c>
      <c r="E140" s="46"/>
      <c r="F140" s="212"/>
      <c r="G140" s="213"/>
      <c r="H140" s="151"/>
    </row>
    <row r="141" spans="2:8" s="43" customFormat="1" ht="12" x14ac:dyDescent="0.25">
      <c r="B141" s="45"/>
      <c r="C141" s="45"/>
      <c r="D141" s="126" t="str">
        <f t="shared" si="11"/>
        <v/>
      </c>
      <c r="E141" s="46"/>
      <c r="F141" s="212"/>
      <c r="G141" s="213"/>
      <c r="H141" s="151"/>
    </row>
    <row r="142" spans="2:8" s="43" customFormat="1" ht="12" x14ac:dyDescent="0.25">
      <c r="B142" s="45"/>
      <c r="C142" s="45"/>
      <c r="D142" s="126" t="str">
        <f t="shared" si="11"/>
        <v/>
      </c>
      <c r="E142" s="46"/>
      <c r="F142" s="212"/>
      <c r="G142" s="213"/>
      <c r="H142" s="151"/>
    </row>
    <row r="143" spans="2:8" s="43" customFormat="1" ht="12.45" thickBot="1" x14ac:dyDescent="0.3">
      <c r="B143" s="47"/>
      <c r="C143" s="47"/>
      <c r="D143" s="127" t="str">
        <f t="shared" si="11"/>
        <v/>
      </c>
      <c r="E143" s="48"/>
      <c r="F143" s="214"/>
      <c r="G143" s="215"/>
      <c r="H143" s="151"/>
    </row>
    <row r="144" spans="2:8" s="43" customFormat="1" ht="12.9" thickBot="1" x14ac:dyDescent="0.3">
      <c r="B144" s="134" t="s">
        <v>41</v>
      </c>
      <c r="C144" s="66">
        <f>SUM(C136:C143)</f>
        <v>38</v>
      </c>
      <c r="D144" s="134" t="str">
        <f xml:space="preserve"> setValueToTime(C144)</f>
        <v>3h 10 min</v>
      </c>
      <c r="E144" s="96"/>
      <c r="F144" s="222"/>
      <c r="G144" s="223"/>
      <c r="H144" s="151"/>
    </row>
    <row r="145" spans="2:8" s="43" customFormat="1" ht="11.6" thickBot="1" x14ac:dyDescent="0.3">
      <c r="B145" s="60"/>
      <c r="C145" s="60"/>
      <c r="D145" s="60"/>
      <c r="E145" s="60"/>
      <c r="F145" s="60"/>
      <c r="G145" s="60"/>
      <c r="H145" s="151"/>
    </row>
    <row r="146" spans="2:8" s="39" customFormat="1" ht="30" customHeight="1" thickBot="1" x14ac:dyDescent="0.3">
      <c r="B146" s="128" t="s">
        <v>34</v>
      </c>
      <c r="C146" s="136">
        <v>15</v>
      </c>
      <c r="D146" s="136"/>
      <c r="E146" s="129" t="s">
        <v>35</v>
      </c>
      <c r="F146" s="130" t="s">
        <v>153</v>
      </c>
      <c r="G146" s="131" t="s">
        <v>47</v>
      </c>
      <c r="H146" s="150"/>
    </row>
    <row r="147" spans="2:8" s="39" customFormat="1" ht="30" customHeight="1" thickBot="1" x14ac:dyDescent="0.3">
      <c r="B147" s="61" t="s">
        <v>36</v>
      </c>
      <c r="C147" s="133" t="s">
        <v>37</v>
      </c>
      <c r="D147" s="132"/>
      <c r="E147" s="61" t="s">
        <v>38</v>
      </c>
      <c r="F147" s="224" t="s">
        <v>39</v>
      </c>
      <c r="G147" s="225"/>
      <c r="H147" s="150"/>
    </row>
    <row r="148" spans="2:8" s="43" customFormat="1" ht="12" x14ac:dyDescent="0.25">
      <c r="B148" s="40" t="s">
        <v>60</v>
      </c>
      <c r="C148" s="41">
        <v>7</v>
      </c>
      <c r="D148" s="124" t="str">
        <f xml:space="preserve"> IF(C148="","",setValueToTime(C148))</f>
        <v xml:space="preserve"> 35 min</v>
      </c>
      <c r="E148" t="s">
        <v>219</v>
      </c>
      <c r="F148" s="220"/>
      <c r="G148" s="221"/>
      <c r="H148" s="151"/>
    </row>
    <row r="149" spans="2:8" s="43" customFormat="1" ht="24" x14ac:dyDescent="0.25">
      <c r="B149" s="44" t="s">
        <v>60</v>
      </c>
      <c r="C149" s="45">
        <v>12</v>
      </c>
      <c r="D149" s="125" t="str">
        <f t="shared" ref="D149:D155" si="12" xml:space="preserve"> IF(C149="","",setValueToTime(C149))</f>
        <v>1h</v>
      </c>
      <c r="E149" s="46" t="s">
        <v>256</v>
      </c>
      <c r="F149" s="212"/>
      <c r="G149" s="213"/>
      <c r="H149" s="151"/>
    </row>
    <row r="150" spans="2:8" s="43" customFormat="1" ht="24" x14ac:dyDescent="0.25">
      <c r="B150" s="44" t="s">
        <v>67</v>
      </c>
      <c r="C150" s="45">
        <v>2</v>
      </c>
      <c r="D150" s="125" t="str">
        <f t="shared" si="12"/>
        <v xml:space="preserve"> 10 min</v>
      </c>
      <c r="E150" s="46" t="s">
        <v>263</v>
      </c>
      <c r="F150" s="212"/>
      <c r="G150" s="213"/>
      <c r="H150" s="151"/>
    </row>
    <row r="151" spans="2:8" s="43" customFormat="1" ht="24" x14ac:dyDescent="0.25">
      <c r="B151" s="44" t="s">
        <v>60</v>
      </c>
      <c r="C151" s="45">
        <v>9</v>
      </c>
      <c r="D151" s="125" t="str">
        <f t="shared" si="12"/>
        <v xml:space="preserve"> 45 min</v>
      </c>
      <c r="E151" s="46" t="s">
        <v>220</v>
      </c>
      <c r="F151" s="212"/>
      <c r="G151" s="213"/>
      <c r="H151" s="151"/>
    </row>
    <row r="152" spans="2:8" s="43" customFormat="1" ht="12" x14ac:dyDescent="0.25">
      <c r="B152" s="45" t="s">
        <v>67</v>
      </c>
      <c r="C152" s="45">
        <v>6</v>
      </c>
      <c r="D152" s="126" t="str">
        <f t="shared" si="12"/>
        <v xml:space="preserve"> 30 min</v>
      </c>
      <c r="E152" s="46" t="s">
        <v>249</v>
      </c>
      <c r="F152" s="212"/>
      <c r="G152" s="213"/>
      <c r="H152" s="151"/>
    </row>
    <row r="153" spans="2:8" s="43" customFormat="1" ht="12" x14ac:dyDescent="0.25">
      <c r="B153" s="45" t="s">
        <v>60</v>
      </c>
      <c r="C153" s="45">
        <v>8</v>
      </c>
      <c r="D153" s="126" t="str">
        <f t="shared" si="12"/>
        <v xml:space="preserve"> 40 min</v>
      </c>
      <c r="E153" s="46" t="s">
        <v>221</v>
      </c>
      <c r="F153" s="212"/>
      <c r="G153" s="213"/>
      <c r="H153" s="151"/>
    </row>
    <row r="154" spans="2:8" s="43" customFormat="1" ht="24" x14ac:dyDescent="0.25">
      <c r="B154" s="45" t="s">
        <v>73</v>
      </c>
      <c r="C154" s="45">
        <v>4</v>
      </c>
      <c r="D154" s="126" t="str">
        <f t="shared" si="12"/>
        <v xml:space="preserve"> 20 min</v>
      </c>
      <c r="E154" s="46" t="s">
        <v>222</v>
      </c>
      <c r="F154" s="212"/>
      <c r="G154" s="213"/>
      <c r="H154" s="151"/>
    </row>
    <row r="155" spans="2:8" s="43" customFormat="1" ht="12.45" thickBot="1" x14ac:dyDescent="0.3">
      <c r="B155" s="47"/>
      <c r="C155" s="47"/>
      <c r="D155" s="127" t="str">
        <f t="shared" si="12"/>
        <v/>
      </c>
      <c r="E155" s="48"/>
      <c r="F155" s="214"/>
      <c r="G155" s="215"/>
      <c r="H155" s="151"/>
    </row>
    <row r="156" spans="2:8" s="43" customFormat="1" ht="12.9" thickBot="1" x14ac:dyDescent="0.3">
      <c r="B156" s="134" t="s">
        <v>41</v>
      </c>
      <c r="C156" s="66">
        <f>SUM(C148:C155)</f>
        <v>48</v>
      </c>
      <c r="D156" s="134" t="str">
        <f xml:space="preserve"> setValueToTime(C156)</f>
        <v>4h</v>
      </c>
      <c r="E156" s="96"/>
      <c r="F156" s="222"/>
      <c r="G156" s="223"/>
      <c r="H156" s="151"/>
    </row>
    <row r="157" spans="2:8" s="43" customFormat="1" ht="11.6" thickBot="1" x14ac:dyDescent="0.3">
      <c r="B157" s="60"/>
      <c r="C157" s="60"/>
      <c r="D157" s="60"/>
      <c r="E157" s="60"/>
      <c r="F157" s="60"/>
      <c r="G157" s="60"/>
      <c r="H157" s="151"/>
    </row>
    <row r="158" spans="2:8" s="39" customFormat="1" ht="30" customHeight="1" thickBot="1" x14ac:dyDescent="0.3">
      <c r="B158" s="128" t="s">
        <v>34</v>
      </c>
      <c r="C158" s="136">
        <v>14</v>
      </c>
      <c r="D158" s="136"/>
      <c r="E158" s="129" t="s">
        <v>35</v>
      </c>
      <c r="F158" s="130" t="s">
        <v>156</v>
      </c>
      <c r="G158" s="131" t="s">
        <v>48</v>
      </c>
      <c r="H158" s="150"/>
    </row>
    <row r="159" spans="2:8" s="39" customFormat="1" ht="30" customHeight="1" thickBot="1" x14ac:dyDescent="0.3">
      <c r="B159" s="61" t="s">
        <v>36</v>
      </c>
      <c r="C159" s="133" t="s">
        <v>37</v>
      </c>
      <c r="D159" s="132"/>
      <c r="E159" s="61" t="s">
        <v>38</v>
      </c>
      <c r="F159" s="224" t="s">
        <v>39</v>
      </c>
      <c r="G159" s="225"/>
      <c r="H159" s="150"/>
    </row>
    <row r="160" spans="2:8" s="43" customFormat="1" ht="12" x14ac:dyDescent="0.25">
      <c r="B160" s="40" t="s">
        <v>60</v>
      </c>
      <c r="C160" s="41">
        <v>18</v>
      </c>
      <c r="D160" s="124" t="str">
        <f xml:space="preserve"> IF(C160="","",setValueToTime(C160))</f>
        <v>1h 30 min</v>
      </c>
      <c r="E160" t="s">
        <v>250</v>
      </c>
      <c r="F160" s="220"/>
      <c r="G160" s="221"/>
      <c r="H160" s="151"/>
    </row>
    <row r="161" spans="2:8" s="43" customFormat="1" ht="24" x14ac:dyDescent="0.25">
      <c r="B161" s="44" t="s">
        <v>67</v>
      </c>
      <c r="C161" s="45">
        <v>3</v>
      </c>
      <c r="D161" s="125" t="str">
        <f t="shared" ref="D161:D167" si="13" xml:space="preserve"> IF(C161="","",setValueToTime(C161))</f>
        <v xml:space="preserve"> 15 min</v>
      </c>
      <c r="E161" s="46" t="s">
        <v>217</v>
      </c>
      <c r="F161" s="212"/>
      <c r="G161" s="213"/>
      <c r="H161" s="151"/>
    </row>
    <row r="162" spans="2:8" s="43" customFormat="1" ht="12" x14ac:dyDescent="0.25">
      <c r="B162" s="44" t="s">
        <v>60</v>
      </c>
      <c r="C162" s="45">
        <v>3</v>
      </c>
      <c r="D162" s="125" t="str">
        <f t="shared" si="13"/>
        <v xml:space="preserve"> 15 min</v>
      </c>
      <c r="E162" s="46" t="s">
        <v>218</v>
      </c>
      <c r="F162" s="212"/>
      <c r="G162" s="213"/>
      <c r="H162" s="151"/>
    </row>
    <row r="163" spans="2:8" s="43" customFormat="1" ht="12" x14ac:dyDescent="0.25">
      <c r="B163" s="44" t="s">
        <v>30</v>
      </c>
      <c r="C163" s="45">
        <v>5</v>
      </c>
      <c r="D163" s="125" t="str">
        <f t="shared" si="13"/>
        <v xml:space="preserve"> 25 min</v>
      </c>
      <c r="E163" s="46" t="s">
        <v>251</v>
      </c>
      <c r="F163" s="212"/>
      <c r="G163" s="213"/>
      <c r="H163" s="151"/>
    </row>
    <row r="164" spans="2:8" s="43" customFormat="1" ht="12" x14ac:dyDescent="0.25">
      <c r="B164" s="45"/>
      <c r="C164" s="45"/>
      <c r="D164" s="126" t="str">
        <f t="shared" si="13"/>
        <v/>
      </c>
      <c r="E164" s="46"/>
      <c r="F164" s="212"/>
      <c r="G164" s="213"/>
      <c r="H164" s="151"/>
    </row>
    <row r="165" spans="2:8" s="43" customFormat="1" ht="12" x14ac:dyDescent="0.25">
      <c r="B165" s="45"/>
      <c r="C165" s="45"/>
      <c r="D165" s="126" t="str">
        <f t="shared" si="13"/>
        <v/>
      </c>
      <c r="E165" s="46"/>
      <c r="F165" s="212"/>
      <c r="G165" s="213"/>
      <c r="H165" s="151"/>
    </row>
    <row r="166" spans="2:8" s="43" customFormat="1" ht="12" x14ac:dyDescent="0.25">
      <c r="B166" s="45"/>
      <c r="C166" s="45"/>
      <c r="D166" s="126" t="str">
        <f t="shared" si="13"/>
        <v/>
      </c>
      <c r="E166" s="46"/>
      <c r="F166" s="212"/>
      <c r="G166" s="213"/>
      <c r="H166" s="151"/>
    </row>
    <row r="167" spans="2:8" s="43" customFormat="1" ht="12.45" thickBot="1" x14ac:dyDescent="0.3">
      <c r="B167" s="47"/>
      <c r="C167" s="47"/>
      <c r="D167" s="127" t="str">
        <f t="shared" si="13"/>
        <v/>
      </c>
      <c r="E167" s="48"/>
      <c r="F167" s="214"/>
      <c r="G167" s="215"/>
      <c r="H167" s="151"/>
    </row>
    <row r="168" spans="2:8" s="43" customFormat="1" ht="12.9" thickBot="1" x14ac:dyDescent="0.3">
      <c r="B168" s="134" t="s">
        <v>41</v>
      </c>
      <c r="C168" s="66">
        <f>SUM(C160:C167)</f>
        <v>29</v>
      </c>
      <c r="D168" s="134" t="str">
        <f xml:space="preserve"> setValueToTime(C168)</f>
        <v>2h 25 min</v>
      </c>
      <c r="E168" s="96"/>
      <c r="F168" s="222"/>
      <c r="G168" s="223"/>
      <c r="H168" s="151"/>
    </row>
    <row r="169" spans="2:8" s="43" customFormat="1" ht="11.6" thickBot="1" x14ac:dyDescent="0.3">
      <c r="B169" s="60"/>
      <c r="C169" s="60"/>
      <c r="D169" s="60"/>
      <c r="E169" s="60"/>
      <c r="F169" s="60"/>
      <c r="G169" s="60"/>
      <c r="H169" s="151"/>
    </row>
    <row r="170" spans="2:8" s="39" customFormat="1" ht="30" customHeight="1" thickBot="1" x14ac:dyDescent="0.3">
      <c r="B170" s="128" t="s">
        <v>34</v>
      </c>
      <c r="C170" s="136">
        <v>13</v>
      </c>
      <c r="D170" s="136"/>
      <c r="E170" s="129" t="s">
        <v>35</v>
      </c>
      <c r="F170" s="130" t="s">
        <v>156</v>
      </c>
      <c r="G170" s="131" t="s">
        <v>47</v>
      </c>
      <c r="H170" s="150"/>
    </row>
    <row r="171" spans="2:8" s="39" customFormat="1" ht="30" customHeight="1" thickBot="1" x14ac:dyDescent="0.3">
      <c r="B171" s="61" t="s">
        <v>36</v>
      </c>
      <c r="C171" s="133" t="s">
        <v>37</v>
      </c>
      <c r="D171" s="132"/>
      <c r="E171" s="61" t="s">
        <v>38</v>
      </c>
      <c r="F171" s="224" t="s">
        <v>39</v>
      </c>
      <c r="G171" s="225"/>
      <c r="H171" s="150"/>
    </row>
    <row r="172" spans="2:8" s="43" customFormat="1" ht="24" x14ac:dyDescent="0.25">
      <c r="B172" s="40" t="s">
        <v>98</v>
      </c>
      <c r="C172" s="41">
        <v>10</v>
      </c>
      <c r="D172" s="124" t="str">
        <f xml:space="preserve"> IF(C172="","",setValueToTime(C172))</f>
        <v xml:space="preserve"> 50 min</v>
      </c>
      <c r="E172" s="42" t="s">
        <v>213</v>
      </c>
      <c r="F172" s="220"/>
      <c r="G172" s="221"/>
      <c r="H172" s="151"/>
    </row>
    <row r="173" spans="2:8" s="43" customFormat="1" ht="12" x14ac:dyDescent="0.25">
      <c r="B173" s="44" t="s">
        <v>67</v>
      </c>
      <c r="C173" s="45">
        <v>2</v>
      </c>
      <c r="D173" s="125" t="str">
        <f t="shared" ref="D173:D179" si="14" xml:space="preserve"> IF(C173="","",setValueToTime(C173))</f>
        <v xml:space="preserve"> 10 min</v>
      </c>
      <c r="E173" t="s">
        <v>252</v>
      </c>
      <c r="F173" s="212"/>
      <c r="G173" s="213"/>
      <c r="H173" s="151"/>
    </row>
    <row r="174" spans="2:8" s="43" customFormat="1" ht="12" x14ac:dyDescent="0.25">
      <c r="B174" s="44" t="s">
        <v>60</v>
      </c>
      <c r="C174" s="45">
        <v>3</v>
      </c>
      <c r="D174" s="125" t="str">
        <f t="shared" si="14"/>
        <v xml:space="preserve"> 15 min</v>
      </c>
      <c r="E174" s="46" t="s">
        <v>214</v>
      </c>
      <c r="F174" s="212"/>
      <c r="G174" s="213"/>
      <c r="H174" s="151"/>
    </row>
    <row r="175" spans="2:8" s="43" customFormat="1" ht="12" x14ac:dyDescent="0.25">
      <c r="B175" s="44" t="s">
        <v>60</v>
      </c>
      <c r="C175" s="45">
        <v>20</v>
      </c>
      <c r="D175" s="125" t="str">
        <f t="shared" si="14"/>
        <v>1h 40 min</v>
      </c>
      <c r="E175" s="46" t="s">
        <v>215</v>
      </c>
      <c r="F175" s="212"/>
      <c r="G175" s="213"/>
      <c r="H175" s="151"/>
    </row>
    <row r="176" spans="2:8" s="43" customFormat="1" ht="12" x14ac:dyDescent="0.25">
      <c r="B176" s="45" t="s">
        <v>67</v>
      </c>
      <c r="C176" s="45">
        <v>3</v>
      </c>
      <c r="D176" s="126" t="str">
        <f t="shared" si="14"/>
        <v xml:space="preserve"> 15 min</v>
      </c>
      <c r="E176" s="46" t="s">
        <v>216</v>
      </c>
      <c r="F176" s="212"/>
      <c r="G176" s="213"/>
      <c r="H176" s="151"/>
    </row>
    <row r="177" spans="2:8" s="43" customFormat="1" ht="12" x14ac:dyDescent="0.25">
      <c r="B177" s="45"/>
      <c r="C177" s="45"/>
      <c r="D177" s="126" t="str">
        <f t="shared" si="14"/>
        <v/>
      </c>
      <c r="E177"/>
      <c r="F177" s="212"/>
      <c r="G177" s="213"/>
      <c r="H177" s="151"/>
    </row>
    <row r="178" spans="2:8" s="43" customFormat="1" ht="12" x14ac:dyDescent="0.25">
      <c r="B178" s="45"/>
      <c r="C178" s="45"/>
      <c r="D178" s="126" t="str">
        <f t="shared" si="14"/>
        <v/>
      </c>
      <c r="E178" s="46"/>
      <c r="F178" s="212"/>
      <c r="G178" s="213"/>
      <c r="H178" s="151"/>
    </row>
    <row r="179" spans="2:8" s="43" customFormat="1" ht="12.45" thickBot="1" x14ac:dyDescent="0.3">
      <c r="B179" s="47"/>
      <c r="C179" s="47"/>
      <c r="D179" s="127" t="str">
        <f t="shared" si="14"/>
        <v/>
      </c>
      <c r="E179" s="48"/>
      <c r="F179" s="214"/>
      <c r="G179" s="215"/>
      <c r="H179" s="151"/>
    </row>
    <row r="180" spans="2:8" s="43" customFormat="1" ht="12.9" thickBot="1" x14ac:dyDescent="0.3">
      <c r="B180" s="134" t="s">
        <v>41</v>
      </c>
      <c r="C180" s="66">
        <f>SUM(C172:C179)</f>
        <v>38</v>
      </c>
      <c r="D180" s="134" t="str">
        <f xml:space="preserve"> setValueToTime(C180)</f>
        <v>3h 10 min</v>
      </c>
      <c r="E180" s="96"/>
      <c r="F180" s="222"/>
      <c r="G180" s="223"/>
      <c r="H180" s="151"/>
    </row>
    <row r="181" spans="2:8" s="43" customFormat="1" ht="11.6" thickBot="1" x14ac:dyDescent="0.3">
      <c r="B181" s="60"/>
      <c r="C181" s="60"/>
      <c r="D181" s="60"/>
      <c r="E181" s="60"/>
      <c r="F181" s="60"/>
      <c r="G181" s="60"/>
      <c r="H181" s="151"/>
    </row>
    <row r="182" spans="2:8" s="39" customFormat="1" ht="30" customHeight="1" thickBot="1" x14ac:dyDescent="0.3">
      <c r="B182" s="128" t="s">
        <v>34</v>
      </c>
      <c r="C182" s="136">
        <v>12</v>
      </c>
      <c r="D182" s="136"/>
      <c r="E182" s="129" t="s">
        <v>35</v>
      </c>
      <c r="F182" s="130" t="s">
        <v>159</v>
      </c>
      <c r="G182" s="131" t="s">
        <v>48</v>
      </c>
      <c r="H182" s="150"/>
    </row>
    <row r="183" spans="2:8" s="39" customFormat="1" ht="30" customHeight="1" thickBot="1" x14ac:dyDescent="0.3">
      <c r="B183" s="61" t="s">
        <v>36</v>
      </c>
      <c r="C183" s="133" t="s">
        <v>37</v>
      </c>
      <c r="D183" s="132"/>
      <c r="E183" s="61" t="s">
        <v>38</v>
      </c>
      <c r="F183" s="224" t="s">
        <v>39</v>
      </c>
      <c r="G183" s="225"/>
      <c r="H183" s="150"/>
    </row>
    <row r="184" spans="2:8" s="43" customFormat="1" ht="24" x14ac:dyDescent="0.25">
      <c r="B184" s="40" t="s">
        <v>59</v>
      </c>
      <c r="C184" s="41">
        <v>6</v>
      </c>
      <c r="D184" s="124" t="str">
        <f xml:space="preserve"> IF(C184="","",setValueToTime(C184))</f>
        <v xml:space="preserve"> 30 min</v>
      </c>
      <c r="E184" s="42" t="s">
        <v>211</v>
      </c>
      <c r="F184" s="220"/>
      <c r="G184" s="221"/>
      <c r="H184" s="151"/>
    </row>
    <row r="185" spans="2:8" s="43" customFormat="1" ht="24" x14ac:dyDescent="0.25">
      <c r="B185" s="44" t="s">
        <v>31</v>
      </c>
      <c r="C185" s="45">
        <v>18</v>
      </c>
      <c r="D185" s="125" t="str">
        <f t="shared" ref="D185:D191" si="15" xml:space="preserve"> IF(C185="","",setValueToTime(C185))</f>
        <v>1h 30 min</v>
      </c>
      <c r="E185" s="46" t="s">
        <v>212</v>
      </c>
      <c r="F185" s="212"/>
      <c r="G185" s="213"/>
      <c r="H185" s="151"/>
    </row>
    <row r="186" spans="2:8" s="43" customFormat="1" ht="36" x14ac:dyDescent="0.25">
      <c r="B186" s="44" t="s">
        <v>30</v>
      </c>
      <c r="C186" s="45">
        <v>8</v>
      </c>
      <c r="D186" s="125" t="str">
        <f t="shared" si="15"/>
        <v xml:space="preserve"> 40 min</v>
      </c>
      <c r="E186" s="46" t="s">
        <v>208</v>
      </c>
      <c r="F186" s="212"/>
      <c r="G186" s="213"/>
      <c r="H186" s="151"/>
    </row>
    <row r="187" spans="2:8" s="43" customFormat="1" ht="12" x14ac:dyDescent="0.25">
      <c r="B187" s="44" t="s">
        <v>49</v>
      </c>
      <c r="C187" s="45">
        <v>3</v>
      </c>
      <c r="D187" s="125" t="str">
        <f t="shared" si="15"/>
        <v xml:space="preserve"> 15 min</v>
      </c>
      <c r="E187" s="46" t="s">
        <v>253</v>
      </c>
      <c r="F187" s="212"/>
      <c r="G187" s="213"/>
      <c r="H187" s="151"/>
    </row>
    <row r="188" spans="2:8" s="43" customFormat="1" ht="24" x14ac:dyDescent="0.25">
      <c r="B188" s="45" t="s">
        <v>29</v>
      </c>
      <c r="C188" s="45">
        <v>3</v>
      </c>
      <c r="D188" s="126" t="str">
        <f t="shared" si="15"/>
        <v xml:space="preserve"> 15 min</v>
      </c>
      <c r="E188" s="46" t="s">
        <v>209</v>
      </c>
      <c r="F188" s="212"/>
      <c r="G188" s="213"/>
      <c r="H188" s="151"/>
    </row>
    <row r="189" spans="2:8" s="43" customFormat="1" ht="12" x14ac:dyDescent="0.25">
      <c r="B189" s="45"/>
      <c r="C189" s="45"/>
      <c r="D189" s="126" t="str">
        <f t="shared" si="15"/>
        <v/>
      </c>
      <c r="E189" s="46"/>
      <c r="F189" s="212"/>
      <c r="G189" s="213"/>
      <c r="H189" s="151"/>
    </row>
    <row r="190" spans="2:8" s="43" customFormat="1" ht="12" x14ac:dyDescent="0.25">
      <c r="B190" s="45"/>
      <c r="C190" s="45"/>
      <c r="D190" s="126" t="str">
        <f t="shared" si="15"/>
        <v/>
      </c>
      <c r="E190" s="46"/>
      <c r="F190" s="212"/>
      <c r="G190" s="213"/>
      <c r="H190" s="151"/>
    </row>
    <row r="191" spans="2:8" s="43" customFormat="1" ht="12.45" thickBot="1" x14ac:dyDescent="0.3">
      <c r="B191" s="47"/>
      <c r="C191" s="47"/>
      <c r="D191" s="127" t="str">
        <f t="shared" si="15"/>
        <v/>
      </c>
      <c r="E191" s="48"/>
      <c r="F191" s="214"/>
      <c r="G191" s="215"/>
      <c r="H191" s="151"/>
    </row>
    <row r="192" spans="2:8" s="43" customFormat="1" ht="12.9" thickBot="1" x14ac:dyDescent="0.3">
      <c r="B192" s="134" t="s">
        <v>41</v>
      </c>
      <c r="C192" s="66">
        <f>SUM(C184:C191)</f>
        <v>38</v>
      </c>
      <c r="D192" s="134" t="str">
        <f xml:space="preserve"> setValueToTime(C192)</f>
        <v>3h 10 min</v>
      </c>
      <c r="E192" s="96"/>
      <c r="F192" s="222"/>
      <c r="G192" s="223"/>
      <c r="H192" s="151"/>
    </row>
    <row r="193" spans="2:8" s="43" customFormat="1" ht="11.6" thickBot="1" x14ac:dyDescent="0.3">
      <c r="B193" s="60"/>
      <c r="C193" s="60"/>
      <c r="D193" s="60"/>
      <c r="E193" s="60"/>
      <c r="F193" s="60"/>
      <c r="G193" s="60"/>
      <c r="H193" s="151"/>
    </row>
    <row r="194" spans="2:8" s="39" customFormat="1" ht="30" customHeight="1" thickBot="1" x14ac:dyDescent="0.3">
      <c r="B194" s="128" t="s">
        <v>34</v>
      </c>
      <c r="C194" s="136">
        <v>11</v>
      </c>
      <c r="D194" s="136"/>
      <c r="E194" s="129" t="s">
        <v>35</v>
      </c>
      <c r="F194" s="130" t="s">
        <v>159</v>
      </c>
      <c r="G194" s="131" t="s">
        <v>47</v>
      </c>
      <c r="H194" s="150"/>
    </row>
    <row r="195" spans="2:8" s="39" customFormat="1" ht="30" customHeight="1" thickBot="1" x14ac:dyDescent="0.3">
      <c r="B195" s="61" t="s">
        <v>36</v>
      </c>
      <c r="C195" s="133" t="s">
        <v>37</v>
      </c>
      <c r="D195" s="132"/>
      <c r="E195" s="61" t="s">
        <v>38</v>
      </c>
      <c r="F195" s="224" t="s">
        <v>39</v>
      </c>
      <c r="G195" s="225"/>
      <c r="H195" s="150"/>
    </row>
    <row r="196" spans="2:8" s="43" customFormat="1" ht="24" x14ac:dyDescent="0.25">
      <c r="B196" s="40" t="s">
        <v>57</v>
      </c>
      <c r="C196" s="41">
        <v>8</v>
      </c>
      <c r="D196" s="124" t="str">
        <f xml:space="preserve"> IF(C196="","",setValueToTime(C196))</f>
        <v xml:space="preserve"> 40 min</v>
      </c>
      <c r="E196" s="42" t="s">
        <v>204</v>
      </c>
      <c r="F196" s="220"/>
      <c r="G196" s="221"/>
      <c r="H196" s="151"/>
    </row>
    <row r="197" spans="2:8" s="43" customFormat="1" ht="24" x14ac:dyDescent="0.25">
      <c r="B197" s="44" t="s">
        <v>73</v>
      </c>
      <c r="C197" s="45">
        <v>4</v>
      </c>
      <c r="D197" s="125" t="str">
        <f t="shared" ref="D197:D203" si="16" xml:space="preserve"> IF(C197="","",setValueToTime(C197))</f>
        <v xml:space="preserve"> 20 min</v>
      </c>
      <c r="E197" s="46" t="s">
        <v>205</v>
      </c>
      <c r="F197" s="212"/>
      <c r="G197" s="213"/>
      <c r="H197" s="151"/>
    </row>
    <row r="198" spans="2:8" s="43" customFormat="1" ht="24" x14ac:dyDescent="0.25">
      <c r="B198" s="44" t="s">
        <v>57</v>
      </c>
      <c r="C198" s="45">
        <v>15</v>
      </c>
      <c r="D198" s="125" t="str">
        <f t="shared" si="16"/>
        <v>1h 15 min</v>
      </c>
      <c r="E198" s="46" t="s">
        <v>206</v>
      </c>
      <c r="F198" s="212"/>
      <c r="G198" s="213"/>
      <c r="H198" s="151"/>
    </row>
    <row r="199" spans="2:8" s="43" customFormat="1" ht="24" x14ac:dyDescent="0.25">
      <c r="B199" s="44" t="s">
        <v>98</v>
      </c>
      <c r="C199" s="45">
        <v>15</v>
      </c>
      <c r="D199" s="125" t="str">
        <f t="shared" si="16"/>
        <v>1h 15 min</v>
      </c>
      <c r="E199" s="46" t="s">
        <v>210</v>
      </c>
      <c r="F199" s="212"/>
      <c r="G199" s="213"/>
      <c r="H199" s="151"/>
    </row>
    <row r="200" spans="2:8" s="43" customFormat="1" ht="12" x14ac:dyDescent="0.25">
      <c r="B200" s="45" t="s">
        <v>58</v>
      </c>
      <c r="C200" s="45">
        <v>6</v>
      </c>
      <c r="D200" s="126" t="str">
        <f t="shared" si="16"/>
        <v xml:space="preserve"> 30 min</v>
      </c>
      <c r="E200" s="46" t="s">
        <v>207</v>
      </c>
      <c r="F200" s="212"/>
      <c r="G200" s="213"/>
      <c r="H200" s="151"/>
    </row>
    <row r="201" spans="2:8" s="43" customFormat="1" ht="12" x14ac:dyDescent="0.25">
      <c r="B201" s="45"/>
      <c r="C201" s="45"/>
      <c r="D201" s="126" t="str">
        <f t="shared" si="16"/>
        <v/>
      </c>
      <c r="E201" s="46"/>
      <c r="F201" s="212"/>
      <c r="G201" s="213"/>
      <c r="H201" s="151"/>
    </row>
    <row r="202" spans="2:8" s="43" customFormat="1" ht="12" x14ac:dyDescent="0.25">
      <c r="B202" s="45"/>
      <c r="C202" s="45"/>
      <c r="D202" s="126" t="str">
        <f t="shared" si="16"/>
        <v/>
      </c>
      <c r="E202" s="46"/>
      <c r="F202" s="212"/>
      <c r="G202" s="213"/>
      <c r="H202" s="151"/>
    </row>
    <row r="203" spans="2:8" s="43" customFormat="1" ht="12.45" thickBot="1" x14ac:dyDescent="0.3">
      <c r="B203" s="47"/>
      <c r="C203" s="47"/>
      <c r="D203" s="127" t="str">
        <f t="shared" si="16"/>
        <v/>
      </c>
      <c r="E203" s="48"/>
      <c r="F203" s="214"/>
      <c r="G203" s="215"/>
      <c r="H203" s="151"/>
    </row>
    <row r="204" spans="2:8" s="43" customFormat="1" ht="12.9" thickBot="1" x14ac:dyDescent="0.3">
      <c r="B204" s="134" t="s">
        <v>41</v>
      </c>
      <c r="C204" s="66">
        <f>SUM(C196:C203)</f>
        <v>48</v>
      </c>
      <c r="D204" s="134" t="str">
        <f xml:space="preserve"> setValueToTime(C204)</f>
        <v>4h</v>
      </c>
      <c r="E204" s="96"/>
      <c r="F204" s="222"/>
      <c r="G204" s="223"/>
      <c r="H204" s="151"/>
    </row>
    <row r="205" spans="2:8" s="43" customFormat="1" ht="11.6" thickBot="1" x14ac:dyDescent="0.3">
      <c r="B205" s="60"/>
      <c r="C205" s="60"/>
      <c r="D205" s="60"/>
      <c r="E205" s="60"/>
      <c r="F205" s="60"/>
      <c r="G205" s="60"/>
      <c r="H205" s="151"/>
    </row>
    <row r="206" spans="2:8" s="39" customFormat="1" ht="30" customHeight="1" thickBot="1" x14ac:dyDescent="0.3">
      <c r="B206" s="128" t="s">
        <v>34</v>
      </c>
      <c r="C206" s="136">
        <v>10</v>
      </c>
      <c r="D206" s="136"/>
      <c r="E206" s="129" t="s">
        <v>35</v>
      </c>
      <c r="F206" s="130" t="s">
        <v>162</v>
      </c>
      <c r="G206" s="131" t="s">
        <v>48</v>
      </c>
      <c r="H206" s="150"/>
    </row>
    <row r="207" spans="2:8" s="39" customFormat="1" ht="30" customHeight="1" thickBot="1" x14ac:dyDescent="0.3">
      <c r="B207" s="61" t="s">
        <v>36</v>
      </c>
      <c r="C207" s="133" t="s">
        <v>37</v>
      </c>
      <c r="D207" s="132"/>
      <c r="E207" s="61" t="s">
        <v>38</v>
      </c>
      <c r="F207" s="224" t="s">
        <v>39</v>
      </c>
      <c r="G207" s="225"/>
      <c r="H207" s="150"/>
    </row>
    <row r="208" spans="2:8" s="43" customFormat="1" ht="24" x14ac:dyDescent="0.25">
      <c r="B208" s="40" t="s">
        <v>57</v>
      </c>
      <c r="C208" s="41">
        <v>29</v>
      </c>
      <c r="D208" s="124" t="str">
        <f xml:space="preserve"> IF(C208="","",setValueToTime(C208))</f>
        <v>2h 25 min</v>
      </c>
      <c r="E208" s="42" t="s">
        <v>203</v>
      </c>
      <c r="F208" s="220"/>
      <c r="G208" s="221"/>
      <c r="H208" s="151"/>
    </row>
    <row r="209" spans="2:8" s="43" customFormat="1" ht="12" x14ac:dyDescent="0.25">
      <c r="B209" s="44"/>
      <c r="C209" s="45"/>
      <c r="D209" s="125" t="str">
        <f t="shared" ref="D209:D215" si="17" xml:space="preserve"> IF(C209="","",setValueToTime(C209))</f>
        <v/>
      </c>
      <c r="E209" s="46"/>
      <c r="F209" s="212"/>
      <c r="G209" s="213"/>
      <c r="H209" s="151"/>
    </row>
    <row r="210" spans="2:8" s="43" customFormat="1" ht="12" x14ac:dyDescent="0.25">
      <c r="B210" s="44"/>
      <c r="C210" s="45"/>
      <c r="D210" s="125" t="str">
        <f t="shared" si="17"/>
        <v/>
      </c>
      <c r="E210" s="46"/>
      <c r="F210" s="212"/>
      <c r="G210" s="213"/>
      <c r="H210" s="151"/>
    </row>
    <row r="211" spans="2:8" s="43" customFormat="1" ht="12" x14ac:dyDescent="0.25">
      <c r="B211" s="44"/>
      <c r="C211" s="45"/>
      <c r="D211" s="125" t="str">
        <f t="shared" si="17"/>
        <v/>
      </c>
      <c r="E211" s="46"/>
      <c r="F211" s="212"/>
      <c r="G211" s="213"/>
      <c r="H211" s="151"/>
    </row>
    <row r="212" spans="2:8" s="43" customFormat="1" ht="12" x14ac:dyDescent="0.25">
      <c r="B212" s="45"/>
      <c r="C212" s="45"/>
      <c r="D212" s="126" t="str">
        <f t="shared" si="17"/>
        <v/>
      </c>
      <c r="E212" s="46"/>
      <c r="F212" s="212"/>
      <c r="G212" s="213"/>
      <c r="H212" s="151"/>
    </row>
    <row r="213" spans="2:8" s="43" customFormat="1" ht="12" x14ac:dyDescent="0.25">
      <c r="B213" s="45"/>
      <c r="C213" s="45"/>
      <c r="D213" s="126" t="str">
        <f t="shared" si="17"/>
        <v/>
      </c>
      <c r="E213" s="46"/>
      <c r="F213" s="212"/>
      <c r="G213" s="213"/>
      <c r="H213" s="151"/>
    </row>
    <row r="214" spans="2:8" s="43" customFormat="1" ht="12" x14ac:dyDescent="0.25">
      <c r="B214" s="45"/>
      <c r="C214" s="45"/>
      <c r="D214" s="126" t="str">
        <f t="shared" si="17"/>
        <v/>
      </c>
      <c r="E214" s="46"/>
      <c r="F214" s="212"/>
      <c r="G214" s="213"/>
      <c r="H214" s="151"/>
    </row>
    <row r="215" spans="2:8" s="43" customFormat="1" ht="12.45" thickBot="1" x14ac:dyDescent="0.3">
      <c r="B215" s="47"/>
      <c r="C215" s="47"/>
      <c r="D215" s="127" t="str">
        <f t="shared" si="17"/>
        <v/>
      </c>
      <c r="E215" s="48"/>
      <c r="F215" s="214"/>
      <c r="G215" s="215"/>
      <c r="H215" s="151"/>
    </row>
    <row r="216" spans="2:8" s="43" customFormat="1" ht="12.9" thickBot="1" x14ac:dyDescent="0.3">
      <c r="B216" s="134" t="s">
        <v>41</v>
      </c>
      <c r="C216" s="66">
        <f>SUM(C208:C215)</f>
        <v>29</v>
      </c>
      <c r="D216" s="134" t="str">
        <f xml:space="preserve"> setValueToTime(C216)</f>
        <v>2h 25 min</v>
      </c>
      <c r="E216" s="96"/>
      <c r="F216" s="222"/>
      <c r="G216" s="223"/>
      <c r="H216" s="151"/>
    </row>
    <row r="217" spans="2:8" s="43" customFormat="1" ht="11.6" thickBot="1" x14ac:dyDescent="0.3">
      <c r="B217" s="60"/>
      <c r="C217" s="60"/>
      <c r="D217" s="60"/>
      <c r="E217" s="60"/>
      <c r="F217" s="60"/>
      <c r="G217" s="60"/>
      <c r="H217" s="151"/>
    </row>
    <row r="218" spans="2:8" s="39" customFormat="1" ht="30" customHeight="1" thickBot="1" x14ac:dyDescent="0.3">
      <c r="B218" s="128" t="s">
        <v>34</v>
      </c>
      <c r="C218" s="136">
        <v>9</v>
      </c>
      <c r="D218" s="136"/>
      <c r="E218" s="129" t="s">
        <v>35</v>
      </c>
      <c r="F218" s="130" t="s">
        <v>162</v>
      </c>
      <c r="G218" s="131" t="s">
        <v>47</v>
      </c>
      <c r="H218" s="150"/>
    </row>
    <row r="219" spans="2:8" s="39" customFormat="1" ht="30" customHeight="1" thickBot="1" x14ac:dyDescent="0.3">
      <c r="B219" s="61" t="s">
        <v>36</v>
      </c>
      <c r="C219" s="133" t="s">
        <v>37</v>
      </c>
      <c r="D219" s="132"/>
      <c r="E219" s="61" t="s">
        <v>38</v>
      </c>
      <c r="F219" s="224" t="s">
        <v>39</v>
      </c>
      <c r="G219" s="225"/>
      <c r="H219" s="150"/>
    </row>
    <row r="220" spans="2:8" s="43" customFormat="1" ht="24" x14ac:dyDescent="0.25">
      <c r="B220" s="40" t="s">
        <v>56</v>
      </c>
      <c r="C220" s="41">
        <v>9</v>
      </c>
      <c r="D220" s="124" t="str">
        <f xml:space="preserve"> IF(C220="","",setValueToTime(C220))</f>
        <v xml:space="preserve"> 45 min</v>
      </c>
      <c r="E220" s="42" t="s">
        <v>257</v>
      </c>
      <c r="F220" s="220"/>
      <c r="G220" s="221"/>
      <c r="H220" s="151"/>
    </row>
    <row r="221" spans="2:8" s="43" customFormat="1" ht="24" x14ac:dyDescent="0.25">
      <c r="B221" s="44" t="s">
        <v>57</v>
      </c>
      <c r="C221" s="45">
        <v>29</v>
      </c>
      <c r="D221" s="125" t="str">
        <f t="shared" ref="D221:D227" si="18" xml:space="preserve"> IF(C221="","",setValueToTime(C221))</f>
        <v>2h 25 min</v>
      </c>
      <c r="E221" s="46" t="s">
        <v>202</v>
      </c>
      <c r="F221" s="212"/>
      <c r="G221" s="213"/>
      <c r="H221" s="151"/>
    </row>
    <row r="222" spans="2:8" s="43" customFormat="1" ht="12" x14ac:dyDescent="0.25">
      <c r="B222" s="44"/>
      <c r="C222" s="45"/>
      <c r="D222" s="125" t="str">
        <f t="shared" si="18"/>
        <v/>
      </c>
      <c r="E222" s="46"/>
      <c r="F222" s="212"/>
      <c r="G222" s="213"/>
      <c r="H222" s="151"/>
    </row>
    <row r="223" spans="2:8" s="43" customFormat="1" ht="12" x14ac:dyDescent="0.25">
      <c r="B223" s="44"/>
      <c r="C223" s="45"/>
      <c r="D223" s="125" t="str">
        <f t="shared" si="18"/>
        <v/>
      </c>
      <c r="E223" s="46"/>
      <c r="F223" s="212"/>
      <c r="G223" s="213"/>
      <c r="H223" s="151"/>
    </row>
    <row r="224" spans="2:8" s="43" customFormat="1" ht="12" x14ac:dyDescent="0.25">
      <c r="B224" s="45"/>
      <c r="C224" s="45"/>
      <c r="D224" s="126" t="str">
        <f t="shared" si="18"/>
        <v/>
      </c>
      <c r="E224" s="46"/>
      <c r="F224" s="212"/>
      <c r="G224" s="213"/>
      <c r="H224" s="151"/>
    </row>
    <row r="225" spans="2:8" s="43" customFormat="1" ht="12" x14ac:dyDescent="0.25">
      <c r="B225" s="45"/>
      <c r="C225" s="45"/>
      <c r="D225" s="126" t="str">
        <f t="shared" si="18"/>
        <v/>
      </c>
      <c r="E225" s="46"/>
      <c r="F225" s="212"/>
      <c r="G225" s="213"/>
      <c r="H225" s="151"/>
    </row>
    <row r="226" spans="2:8" s="43" customFormat="1" ht="12" x14ac:dyDescent="0.25">
      <c r="B226" s="45"/>
      <c r="C226" s="45"/>
      <c r="D226" s="126" t="str">
        <f t="shared" si="18"/>
        <v/>
      </c>
      <c r="E226" s="46"/>
      <c r="F226" s="212"/>
      <c r="G226" s="213"/>
      <c r="H226" s="151"/>
    </row>
    <row r="227" spans="2:8" s="43" customFormat="1" ht="12.45" thickBot="1" x14ac:dyDescent="0.3">
      <c r="B227" s="47"/>
      <c r="C227" s="47"/>
      <c r="D227" s="127" t="str">
        <f t="shared" si="18"/>
        <v/>
      </c>
      <c r="E227" s="48"/>
      <c r="F227" s="214"/>
      <c r="G227" s="215"/>
      <c r="H227" s="151"/>
    </row>
    <row r="228" spans="2:8" s="43" customFormat="1" ht="12.9" thickBot="1" x14ac:dyDescent="0.3">
      <c r="B228" s="134" t="s">
        <v>41</v>
      </c>
      <c r="C228" s="66">
        <f>SUM(C220:C227)</f>
        <v>38</v>
      </c>
      <c r="D228" s="134" t="str">
        <f xml:space="preserve"> setValueToTime(C228)</f>
        <v>3h 10 min</v>
      </c>
      <c r="E228" s="96"/>
      <c r="F228" s="222"/>
      <c r="G228" s="223"/>
      <c r="H228" s="151"/>
    </row>
    <row r="229" spans="2:8" s="43" customFormat="1" ht="11.6" thickBot="1" x14ac:dyDescent="0.3">
      <c r="B229" s="60"/>
      <c r="C229" s="60"/>
      <c r="D229" s="60"/>
      <c r="E229" s="60"/>
      <c r="F229" s="60"/>
      <c r="G229" s="60"/>
      <c r="H229" s="151"/>
    </row>
    <row r="230" spans="2:8" s="39" customFormat="1" ht="30" customHeight="1" thickBot="1" x14ac:dyDescent="0.3">
      <c r="B230" s="128" t="s">
        <v>34</v>
      </c>
      <c r="C230" s="136">
        <v>8</v>
      </c>
      <c r="D230" s="136"/>
      <c r="E230" s="129" t="s">
        <v>35</v>
      </c>
      <c r="F230" s="130" t="s">
        <v>165</v>
      </c>
      <c r="G230" s="131" t="s">
        <v>48</v>
      </c>
      <c r="H230" s="150"/>
    </row>
    <row r="231" spans="2:8" s="39" customFormat="1" ht="30" customHeight="1" thickBot="1" x14ac:dyDescent="0.3">
      <c r="B231" s="61" t="s">
        <v>36</v>
      </c>
      <c r="C231" s="133" t="s">
        <v>37</v>
      </c>
      <c r="D231" s="132"/>
      <c r="E231" s="61" t="s">
        <v>38</v>
      </c>
      <c r="F231" s="224" t="s">
        <v>39</v>
      </c>
      <c r="G231" s="225"/>
      <c r="H231" s="150"/>
    </row>
    <row r="232" spans="2:8" s="43" customFormat="1" ht="24" x14ac:dyDescent="0.25">
      <c r="B232" s="40" t="s">
        <v>73</v>
      </c>
      <c r="C232" s="41">
        <v>4</v>
      </c>
      <c r="D232" s="124" t="str">
        <f xml:space="preserve"> IF(C232="","",setValueToTime(C232))</f>
        <v xml:space="preserve"> 20 min</v>
      </c>
      <c r="E232" s="42" t="s">
        <v>188</v>
      </c>
      <c r="F232" s="220"/>
      <c r="G232" s="221"/>
      <c r="H232" s="151"/>
    </row>
    <row r="233" spans="2:8" s="43" customFormat="1" ht="24" x14ac:dyDescent="0.25">
      <c r="B233" s="44" t="s">
        <v>29</v>
      </c>
      <c r="C233" s="45">
        <v>2</v>
      </c>
      <c r="D233" s="125" t="str">
        <f t="shared" ref="D233:D239" si="19" xml:space="preserve"> IF(C233="","",setValueToTime(C233))</f>
        <v xml:space="preserve"> 10 min</v>
      </c>
      <c r="E233" s="46" t="s">
        <v>93</v>
      </c>
      <c r="F233" s="212"/>
      <c r="G233" s="213"/>
      <c r="H233" s="151"/>
    </row>
    <row r="234" spans="2:8" s="43" customFormat="1" ht="12" x14ac:dyDescent="0.25">
      <c r="B234" s="44" t="s">
        <v>30</v>
      </c>
      <c r="C234" s="45">
        <v>2</v>
      </c>
      <c r="D234" s="125" t="str">
        <f t="shared" si="19"/>
        <v xml:space="preserve"> 10 min</v>
      </c>
      <c r="E234" s="46" t="s">
        <v>94</v>
      </c>
      <c r="F234" s="212"/>
      <c r="G234" s="213"/>
      <c r="H234" s="151"/>
    </row>
    <row r="235" spans="2:8" s="43" customFormat="1" ht="24" x14ac:dyDescent="0.25">
      <c r="B235" s="44" t="s">
        <v>56</v>
      </c>
      <c r="C235" s="45">
        <v>5</v>
      </c>
      <c r="D235" s="125" t="str">
        <f t="shared" si="19"/>
        <v xml:space="preserve"> 25 min</v>
      </c>
      <c r="E235" s="46" t="s">
        <v>191</v>
      </c>
      <c r="F235" s="212"/>
      <c r="G235" s="213"/>
      <c r="H235" s="151"/>
    </row>
    <row r="236" spans="2:8" s="43" customFormat="1" ht="36" x14ac:dyDescent="0.25">
      <c r="B236" s="45" t="s">
        <v>56</v>
      </c>
      <c r="C236" s="45">
        <v>21</v>
      </c>
      <c r="D236" s="126" t="str">
        <f t="shared" si="19"/>
        <v>1h 45 min</v>
      </c>
      <c r="E236" s="46" t="s">
        <v>189</v>
      </c>
      <c r="F236" s="226" t="s">
        <v>190</v>
      </c>
      <c r="G236" s="213"/>
      <c r="H236" s="151"/>
    </row>
    <row r="237" spans="2:8" s="43" customFormat="1" ht="12" x14ac:dyDescent="0.25">
      <c r="B237" s="45" t="s">
        <v>66</v>
      </c>
      <c r="C237" s="45">
        <v>2</v>
      </c>
      <c r="D237" s="126" t="str">
        <f t="shared" si="19"/>
        <v xml:space="preserve"> 10 min</v>
      </c>
      <c r="E237" s="46" t="s">
        <v>258</v>
      </c>
      <c r="F237" s="212"/>
      <c r="G237" s="213"/>
      <c r="H237" s="151"/>
    </row>
    <row r="238" spans="2:8" s="43" customFormat="1" ht="24" x14ac:dyDescent="0.25">
      <c r="B238" s="45" t="s">
        <v>53</v>
      </c>
      <c r="C238" s="45">
        <v>2</v>
      </c>
      <c r="D238" s="126" t="str">
        <f t="shared" si="19"/>
        <v xml:space="preserve"> 10 min</v>
      </c>
      <c r="E238" s="46" t="s">
        <v>192</v>
      </c>
      <c r="F238" s="212"/>
      <c r="G238" s="213"/>
      <c r="H238" s="151"/>
    </row>
    <row r="239" spans="2:8" s="43" customFormat="1" ht="12.45" thickBot="1" x14ac:dyDescent="0.3">
      <c r="B239" s="47"/>
      <c r="C239" s="47"/>
      <c r="D239" s="127" t="str">
        <f t="shared" si="19"/>
        <v/>
      </c>
      <c r="E239" s="48"/>
      <c r="F239" s="214"/>
      <c r="G239" s="215"/>
      <c r="H239" s="151"/>
    </row>
    <row r="240" spans="2:8" s="43" customFormat="1" ht="12.9" thickBot="1" x14ac:dyDescent="0.3">
      <c r="B240" s="134" t="s">
        <v>41</v>
      </c>
      <c r="C240" s="66">
        <f>SUM(C232:C239)</f>
        <v>38</v>
      </c>
      <c r="D240" s="134" t="str">
        <f xml:space="preserve"> setValueToTime(C240)</f>
        <v>3h 10 min</v>
      </c>
      <c r="E240" s="96"/>
      <c r="F240" s="222"/>
      <c r="G240" s="223"/>
      <c r="H240" s="151"/>
    </row>
    <row r="241" spans="2:8" s="43" customFormat="1" ht="11.6" thickBot="1" x14ac:dyDescent="0.3">
      <c r="B241" s="60"/>
      <c r="C241" s="60"/>
      <c r="D241" s="60"/>
      <c r="E241" s="60"/>
      <c r="F241" s="60"/>
      <c r="G241" s="60"/>
      <c r="H241" s="151"/>
    </row>
    <row r="242" spans="2:8" s="39" customFormat="1" ht="30" customHeight="1" thickBot="1" x14ac:dyDescent="0.3">
      <c r="B242" s="128" t="s">
        <v>34</v>
      </c>
      <c r="C242" s="136">
        <v>7</v>
      </c>
      <c r="D242" s="136"/>
      <c r="E242" s="129" t="s">
        <v>35</v>
      </c>
      <c r="F242" s="130" t="s">
        <v>165</v>
      </c>
      <c r="G242" s="131" t="s">
        <v>47</v>
      </c>
      <c r="H242" s="150"/>
    </row>
    <row r="243" spans="2:8" s="39" customFormat="1" ht="30" customHeight="1" thickBot="1" x14ac:dyDescent="0.3">
      <c r="B243" s="61" t="s">
        <v>36</v>
      </c>
      <c r="C243" s="133" t="s">
        <v>37</v>
      </c>
      <c r="D243" s="132"/>
      <c r="E243" s="61" t="s">
        <v>38</v>
      </c>
      <c r="F243" s="224" t="s">
        <v>39</v>
      </c>
      <c r="G243" s="225"/>
      <c r="H243" s="150"/>
    </row>
    <row r="244" spans="2:8" s="43" customFormat="1" ht="12" x14ac:dyDescent="0.25">
      <c r="B244" s="40" t="s">
        <v>66</v>
      </c>
      <c r="C244" s="41">
        <v>18</v>
      </c>
      <c r="D244" s="124" t="str">
        <f xml:space="preserve"> IF(C244="","",setValueToTime(C244))</f>
        <v>1h 30 min</v>
      </c>
      <c r="E244" s="42" t="s">
        <v>201</v>
      </c>
      <c r="F244" s="220"/>
      <c r="G244" s="221"/>
      <c r="H244" s="151"/>
    </row>
    <row r="245" spans="2:8" s="43" customFormat="1" ht="24" x14ac:dyDescent="0.25">
      <c r="B245" s="44" t="s">
        <v>52</v>
      </c>
      <c r="C245" s="45">
        <v>6</v>
      </c>
      <c r="D245" s="125" t="str">
        <f t="shared" ref="D245:D251" si="20" xml:space="preserve"> IF(C245="","",setValueToTime(C245))</f>
        <v xml:space="preserve"> 30 min</v>
      </c>
      <c r="E245" s="46" t="s">
        <v>199</v>
      </c>
      <c r="F245" s="212"/>
      <c r="G245" s="213"/>
      <c r="H245" s="151"/>
    </row>
    <row r="246" spans="2:8" s="43" customFormat="1" ht="24" x14ac:dyDescent="0.25">
      <c r="B246" s="44" t="s">
        <v>53</v>
      </c>
      <c r="C246" s="45">
        <v>6</v>
      </c>
      <c r="D246" s="125" t="str">
        <f t="shared" si="20"/>
        <v xml:space="preserve"> 30 min</v>
      </c>
      <c r="E246" s="46" t="s">
        <v>259</v>
      </c>
      <c r="F246" s="212"/>
      <c r="G246" s="213"/>
      <c r="H246" s="151"/>
    </row>
    <row r="247" spans="2:8" s="43" customFormat="1" ht="24" x14ac:dyDescent="0.25">
      <c r="B247" s="44" t="s">
        <v>56</v>
      </c>
      <c r="C247" s="45">
        <v>18</v>
      </c>
      <c r="D247" s="125" t="str">
        <f t="shared" si="20"/>
        <v>1h 30 min</v>
      </c>
      <c r="E247" s="46" t="s">
        <v>200</v>
      </c>
      <c r="F247" s="212"/>
      <c r="G247" s="213"/>
      <c r="H247" s="151"/>
    </row>
    <row r="248" spans="2:8" s="43" customFormat="1" ht="12" x14ac:dyDescent="0.25">
      <c r="B248" s="45"/>
      <c r="C248" s="45"/>
      <c r="D248" s="126" t="str">
        <f t="shared" si="20"/>
        <v/>
      </c>
      <c r="E248" s="46"/>
      <c r="F248" s="212"/>
      <c r="G248" s="213"/>
      <c r="H248" s="151"/>
    </row>
    <row r="249" spans="2:8" s="43" customFormat="1" ht="12" x14ac:dyDescent="0.25">
      <c r="B249" s="45"/>
      <c r="C249" s="45"/>
      <c r="D249" s="126" t="str">
        <f t="shared" si="20"/>
        <v/>
      </c>
      <c r="E249" s="46"/>
      <c r="F249" s="212"/>
      <c r="G249" s="213"/>
      <c r="H249" s="151"/>
    </row>
    <row r="250" spans="2:8" s="43" customFormat="1" ht="12" x14ac:dyDescent="0.25">
      <c r="B250" s="45"/>
      <c r="C250" s="45"/>
      <c r="D250" s="126" t="str">
        <f t="shared" si="20"/>
        <v/>
      </c>
      <c r="E250" s="46"/>
      <c r="F250" s="212"/>
      <c r="G250" s="213"/>
      <c r="H250" s="151"/>
    </row>
    <row r="251" spans="2:8" s="43" customFormat="1" ht="12.45" thickBot="1" x14ac:dyDescent="0.3">
      <c r="B251" s="47"/>
      <c r="C251" s="47"/>
      <c r="D251" s="127" t="str">
        <f t="shared" si="20"/>
        <v/>
      </c>
      <c r="E251" s="48"/>
      <c r="F251" s="214"/>
      <c r="G251" s="215"/>
      <c r="H251" s="151"/>
    </row>
    <row r="252" spans="2:8" s="43" customFormat="1" ht="12.9" thickBot="1" x14ac:dyDescent="0.3">
      <c r="B252" s="134" t="s">
        <v>41</v>
      </c>
      <c r="C252" s="66">
        <f>SUM(C244:C251)</f>
        <v>48</v>
      </c>
      <c r="D252" s="134" t="str">
        <f xml:space="preserve"> setValueToTime(C252)</f>
        <v>4h</v>
      </c>
      <c r="E252" s="96"/>
      <c r="F252" s="222"/>
      <c r="G252" s="223"/>
      <c r="H252" s="151"/>
    </row>
    <row r="253" spans="2:8" s="43" customFormat="1" ht="11.6" thickBot="1" x14ac:dyDescent="0.3">
      <c r="B253" s="60"/>
      <c r="C253" s="60"/>
      <c r="D253" s="60"/>
      <c r="E253" s="60"/>
      <c r="F253" s="60"/>
      <c r="G253" s="60"/>
      <c r="H253" s="151"/>
    </row>
    <row r="254" spans="2:8" s="39" customFormat="1" ht="30" customHeight="1" thickBot="1" x14ac:dyDescent="0.3">
      <c r="B254" s="128" t="s">
        <v>34</v>
      </c>
      <c r="C254" s="136">
        <v>6</v>
      </c>
      <c r="D254" s="136"/>
      <c r="E254" s="129" t="s">
        <v>35</v>
      </c>
      <c r="F254" s="130" t="s">
        <v>168</v>
      </c>
      <c r="G254" s="131" t="s">
        <v>48</v>
      </c>
      <c r="H254" s="150"/>
    </row>
    <row r="255" spans="2:8" s="39" customFormat="1" ht="30" customHeight="1" thickBot="1" x14ac:dyDescent="0.3">
      <c r="B255" s="61" t="s">
        <v>36</v>
      </c>
      <c r="C255" s="133" t="s">
        <v>37</v>
      </c>
      <c r="D255" s="132"/>
      <c r="E255" s="61" t="s">
        <v>38</v>
      </c>
      <c r="F255" s="224" t="s">
        <v>39</v>
      </c>
      <c r="G255" s="225"/>
      <c r="H255" s="150"/>
    </row>
    <row r="256" spans="2:8" s="43" customFormat="1" ht="24" x14ac:dyDescent="0.25">
      <c r="B256" s="40" t="s">
        <v>29</v>
      </c>
      <c r="C256" s="41">
        <v>2</v>
      </c>
      <c r="D256" s="124" t="str">
        <f xml:space="preserve"> IF(C256="","",setValueToTime(C256))</f>
        <v xml:space="preserve"> 10 min</v>
      </c>
      <c r="E256" s="42" t="s">
        <v>198</v>
      </c>
      <c r="F256" s="220"/>
      <c r="G256" s="221"/>
      <c r="H256" s="151"/>
    </row>
    <row r="257" spans="2:8" s="43" customFormat="1" ht="12" x14ac:dyDescent="0.25">
      <c r="B257" s="44" t="s">
        <v>30</v>
      </c>
      <c r="C257" s="45">
        <v>6</v>
      </c>
      <c r="D257" s="125" t="str">
        <f t="shared" ref="D257:D263" si="21" xml:space="preserve"> IF(C257="","",setValueToTime(C257))</f>
        <v xml:space="preserve"> 30 min</v>
      </c>
      <c r="E257" s="46" t="s">
        <v>197</v>
      </c>
      <c r="F257" s="212"/>
      <c r="G257" s="213"/>
      <c r="H257" s="151"/>
    </row>
    <row r="258" spans="2:8" s="43" customFormat="1" ht="24" x14ac:dyDescent="0.25">
      <c r="B258" s="44" t="s">
        <v>66</v>
      </c>
      <c r="C258" s="45">
        <v>12</v>
      </c>
      <c r="D258" s="125" t="str">
        <f t="shared" si="21"/>
        <v>1h</v>
      </c>
      <c r="E258" s="46" t="s">
        <v>196</v>
      </c>
      <c r="F258" s="212"/>
      <c r="G258" s="213"/>
      <c r="H258" s="151"/>
    </row>
    <row r="259" spans="2:8" s="43" customFormat="1" ht="24" x14ac:dyDescent="0.25">
      <c r="B259" s="44" t="s">
        <v>53</v>
      </c>
      <c r="C259" s="45">
        <v>18</v>
      </c>
      <c r="D259" s="125" t="str">
        <f t="shared" si="21"/>
        <v>1h 30 min</v>
      </c>
      <c r="E259" s="46" t="s">
        <v>195</v>
      </c>
      <c r="F259" s="212"/>
      <c r="G259" s="213"/>
      <c r="H259" s="151"/>
    </row>
    <row r="260" spans="2:8" s="43" customFormat="1" ht="12" x14ac:dyDescent="0.25">
      <c r="B260" s="45"/>
      <c r="C260" s="45"/>
      <c r="D260" s="126" t="str">
        <f t="shared" si="21"/>
        <v/>
      </c>
      <c r="E260" s="46"/>
      <c r="F260" s="212"/>
      <c r="G260" s="213"/>
      <c r="H260" s="151"/>
    </row>
    <row r="261" spans="2:8" s="43" customFormat="1" ht="12" x14ac:dyDescent="0.25">
      <c r="B261" s="45"/>
      <c r="C261" s="45"/>
      <c r="D261" s="126" t="str">
        <f t="shared" si="21"/>
        <v/>
      </c>
      <c r="E261" s="46"/>
      <c r="F261" s="212"/>
      <c r="G261" s="213"/>
      <c r="H261" s="151"/>
    </row>
    <row r="262" spans="2:8" s="43" customFormat="1" ht="12" x14ac:dyDescent="0.25">
      <c r="B262" s="45"/>
      <c r="C262" s="45"/>
      <c r="D262" s="126" t="str">
        <f t="shared" si="21"/>
        <v/>
      </c>
      <c r="E262" s="46"/>
      <c r="F262" s="212"/>
      <c r="G262" s="213"/>
      <c r="H262" s="151"/>
    </row>
    <row r="263" spans="2:8" s="43" customFormat="1" ht="12.45" thickBot="1" x14ac:dyDescent="0.3">
      <c r="B263" s="47"/>
      <c r="C263" s="47"/>
      <c r="D263" s="127" t="str">
        <f t="shared" si="21"/>
        <v/>
      </c>
      <c r="E263" s="48"/>
      <c r="F263" s="214"/>
      <c r="G263" s="215"/>
      <c r="H263" s="151"/>
    </row>
    <row r="264" spans="2:8" s="43" customFormat="1" ht="12.9" thickBot="1" x14ac:dyDescent="0.3">
      <c r="B264" s="134" t="s">
        <v>41</v>
      </c>
      <c r="C264" s="66">
        <f>SUM(C256:C263)</f>
        <v>38</v>
      </c>
      <c r="D264" s="134" t="str">
        <f xml:space="preserve"> setValueToTime(C264)</f>
        <v>3h 10 min</v>
      </c>
      <c r="E264" s="96"/>
      <c r="F264" s="222"/>
      <c r="G264" s="223"/>
      <c r="H264" s="151"/>
    </row>
    <row r="265" spans="2:8" s="43" customFormat="1" ht="11.6" thickBot="1" x14ac:dyDescent="0.3">
      <c r="B265" s="60"/>
      <c r="C265" s="60"/>
      <c r="D265" s="60"/>
      <c r="E265" s="60"/>
      <c r="F265" s="60"/>
      <c r="G265" s="60"/>
      <c r="H265" s="151"/>
    </row>
    <row r="266" spans="2:8" s="39" customFormat="1" ht="30" customHeight="1" thickBot="1" x14ac:dyDescent="0.3">
      <c r="B266" s="128" t="s">
        <v>34</v>
      </c>
      <c r="C266" s="136">
        <v>5</v>
      </c>
      <c r="D266" s="136"/>
      <c r="E266" s="129" t="s">
        <v>35</v>
      </c>
      <c r="F266" s="130" t="s">
        <v>168</v>
      </c>
      <c r="G266" s="131" t="s">
        <v>47</v>
      </c>
      <c r="H266" s="150"/>
    </row>
    <row r="267" spans="2:8" s="39" customFormat="1" ht="30" customHeight="1" thickBot="1" x14ac:dyDescent="0.3">
      <c r="B267" s="61" t="s">
        <v>36</v>
      </c>
      <c r="C267" s="133" t="s">
        <v>37</v>
      </c>
      <c r="D267" s="132"/>
      <c r="E267" s="61" t="s">
        <v>38</v>
      </c>
      <c r="F267" s="224" t="s">
        <v>39</v>
      </c>
      <c r="G267" s="225"/>
      <c r="H267" s="150"/>
    </row>
    <row r="268" spans="2:8" s="43" customFormat="1" ht="24" x14ac:dyDescent="0.25">
      <c r="B268" s="40" t="s">
        <v>74</v>
      </c>
      <c r="C268" s="41">
        <v>9</v>
      </c>
      <c r="D268" s="124" t="str">
        <f xml:space="preserve"> IF(C268="","",setValueToTime(C268))</f>
        <v xml:space="preserve"> 45 min</v>
      </c>
      <c r="E268" s="42" t="s">
        <v>187</v>
      </c>
      <c r="F268" s="220"/>
      <c r="G268" s="221"/>
      <c r="H268" s="151"/>
    </row>
    <row r="269" spans="2:8" s="43" customFormat="1" ht="24" x14ac:dyDescent="0.25">
      <c r="B269" s="44" t="s">
        <v>74</v>
      </c>
      <c r="C269" s="45">
        <v>15</v>
      </c>
      <c r="D269" s="125" t="str">
        <f t="shared" ref="D269:D275" si="22" xml:space="preserve"> IF(C269="","",setValueToTime(C269))</f>
        <v>1h 15 min</v>
      </c>
      <c r="E269" s="46" t="s">
        <v>193</v>
      </c>
      <c r="F269" s="212"/>
      <c r="G269" s="213"/>
      <c r="H269" s="151"/>
    </row>
    <row r="270" spans="2:8" s="43" customFormat="1" ht="12" x14ac:dyDescent="0.25">
      <c r="B270" s="44" t="s">
        <v>66</v>
      </c>
      <c r="C270" s="45">
        <v>24</v>
      </c>
      <c r="D270" s="125" t="str">
        <f t="shared" si="22"/>
        <v>2h</v>
      </c>
      <c r="E270" s="46" t="s">
        <v>194</v>
      </c>
      <c r="F270" s="212"/>
      <c r="G270" s="213"/>
      <c r="H270" s="151"/>
    </row>
    <row r="271" spans="2:8" s="43" customFormat="1" ht="12" x14ac:dyDescent="0.25">
      <c r="B271" s="44"/>
      <c r="C271" s="45"/>
      <c r="D271" s="125" t="str">
        <f t="shared" si="22"/>
        <v/>
      </c>
      <c r="E271" s="46"/>
      <c r="F271" s="212"/>
      <c r="G271" s="213"/>
      <c r="H271" s="151"/>
    </row>
    <row r="272" spans="2:8" s="43" customFormat="1" ht="12" x14ac:dyDescent="0.25">
      <c r="B272" s="45"/>
      <c r="C272" s="45"/>
      <c r="D272" s="126" t="str">
        <f t="shared" si="22"/>
        <v/>
      </c>
      <c r="E272" s="46"/>
      <c r="F272" s="212"/>
      <c r="G272" s="213"/>
      <c r="H272" s="151"/>
    </row>
    <row r="273" spans="2:8" s="43" customFormat="1" ht="12" x14ac:dyDescent="0.25">
      <c r="B273" s="45"/>
      <c r="C273" s="45"/>
      <c r="D273" s="126" t="str">
        <f t="shared" si="22"/>
        <v/>
      </c>
      <c r="E273" s="46"/>
      <c r="F273" s="212"/>
      <c r="G273" s="213"/>
      <c r="H273" s="151"/>
    </row>
    <row r="274" spans="2:8" s="43" customFormat="1" ht="12" x14ac:dyDescent="0.25">
      <c r="B274" s="45"/>
      <c r="C274" s="45"/>
      <c r="D274" s="126" t="str">
        <f t="shared" si="22"/>
        <v/>
      </c>
      <c r="E274" s="46"/>
      <c r="F274" s="212"/>
      <c r="G274" s="213"/>
      <c r="H274" s="151"/>
    </row>
    <row r="275" spans="2:8" s="43" customFormat="1" ht="12.45" thickBot="1" x14ac:dyDescent="0.3">
      <c r="B275" s="47"/>
      <c r="C275" s="47"/>
      <c r="D275" s="127" t="str">
        <f t="shared" si="22"/>
        <v/>
      </c>
      <c r="E275" s="48"/>
      <c r="F275" s="214"/>
      <c r="G275" s="215"/>
      <c r="H275" s="151"/>
    </row>
    <row r="276" spans="2:8" s="43" customFormat="1" ht="12.9" thickBot="1" x14ac:dyDescent="0.3">
      <c r="B276" s="134" t="s">
        <v>41</v>
      </c>
      <c r="C276" s="66">
        <f>SUM(C268:C275)</f>
        <v>48</v>
      </c>
      <c r="D276" s="134" t="str">
        <f xml:space="preserve"> setValueToTime(C276)</f>
        <v>4h</v>
      </c>
      <c r="E276" s="96"/>
      <c r="F276" s="222"/>
      <c r="G276" s="223"/>
      <c r="H276" s="151"/>
    </row>
    <row r="277" spans="2:8" s="43" customFormat="1" ht="11.6" thickBot="1" x14ac:dyDescent="0.3">
      <c r="B277" s="60"/>
      <c r="C277" s="60"/>
      <c r="D277" s="60"/>
      <c r="E277" s="60"/>
      <c r="F277" s="60"/>
      <c r="G277" s="60"/>
      <c r="H277" s="151"/>
    </row>
    <row r="278" spans="2:8" s="39" customFormat="1" ht="30" customHeight="1" thickBot="1" x14ac:dyDescent="0.3">
      <c r="B278" s="128" t="s">
        <v>34</v>
      </c>
      <c r="C278" s="136">
        <v>4</v>
      </c>
      <c r="D278" s="136"/>
      <c r="E278" s="129" t="s">
        <v>35</v>
      </c>
      <c r="F278" s="130" t="s">
        <v>171</v>
      </c>
      <c r="G278" s="131" t="s">
        <v>48</v>
      </c>
      <c r="H278" s="150"/>
    </row>
    <row r="279" spans="2:8" s="39" customFormat="1" ht="30" customHeight="1" thickBot="1" x14ac:dyDescent="0.3">
      <c r="B279" s="61" t="s">
        <v>36</v>
      </c>
      <c r="C279" s="133" t="s">
        <v>37</v>
      </c>
      <c r="D279" s="132"/>
      <c r="E279" s="61" t="s">
        <v>38</v>
      </c>
      <c r="F279" s="224" t="s">
        <v>39</v>
      </c>
      <c r="G279" s="225"/>
      <c r="H279" s="150"/>
    </row>
    <row r="280" spans="2:8" s="43" customFormat="1" ht="12" x14ac:dyDescent="0.25">
      <c r="B280" s="40" t="s">
        <v>69</v>
      </c>
      <c r="C280" s="41">
        <v>16</v>
      </c>
      <c r="D280" s="124" t="str">
        <f xml:space="preserve"> IF(C280="","",setValueToTime(C280))</f>
        <v>1h 20 min</v>
      </c>
      <c r="E280" t="s">
        <v>177</v>
      </c>
      <c r="F280" s="220"/>
      <c r="G280" s="221"/>
      <c r="H280" s="151"/>
    </row>
    <row r="281" spans="2:8" s="43" customFormat="1" ht="24" x14ac:dyDescent="0.25">
      <c r="B281" s="44" t="s">
        <v>55</v>
      </c>
      <c r="C281" s="45">
        <v>10</v>
      </c>
      <c r="D281" s="125" t="str">
        <f t="shared" ref="D281:D287" si="23" xml:space="preserve"> IF(C281="","",setValueToTime(C281))</f>
        <v xml:space="preserve"> 50 min</v>
      </c>
      <c r="E281" s="162" t="s">
        <v>178</v>
      </c>
      <c r="F281" s="212"/>
      <c r="G281" s="213"/>
      <c r="H281" s="151"/>
    </row>
    <row r="282" spans="2:8" s="43" customFormat="1" ht="12" x14ac:dyDescent="0.25">
      <c r="B282" s="44" t="s">
        <v>66</v>
      </c>
      <c r="C282" s="45">
        <v>6</v>
      </c>
      <c r="D282" s="125" t="str">
        <f t="shared" si="23"/>
        <v xml:space="preserve"> 30 min</v>
      </c>
      <c r="E282" t="s">
        <v>184</v>
      </c>
      <c r="F282" s="226" t="s">
        <v>183</v>
      </c>
      <c r="G282" s="213"/>
      <c r="H282" s="151"/>
    </row>
    <row r="283" spans="2:8" s="43" customFormat="1" ht="12" x14ac:dyDescent="0.25">
      <c r="B283" s="44" t="s">
        <v>54</v>
      </c>
      <c r="C283" s="45">
        <v>2</v>
      </c>
      <c r="D283" s="125" t="str">
        <f t="shared" si="23"/>
        <v xml:space="preserve"> 10 min</v>
      </c>
      <c r="E283" t="s">
        <v>179</v>
      </c>
      <c r="F283" s="212"/>
      <c r="G283" s="213"/>
      <c r="H283" s="151"/>
    </row>
    <row r="284" spans="2:8" s="43" customFormat="1" ht="24" x14ac:dyDescent="0.25">
      <c r="B284" s="45" t="s">
        <v>29</v>
      </c>
      <c r="C284" s="45">
        <v>2</v>
      </c>
      <c r="D284" s="126" t="str">
        <f t="shared" si="23"/>
        <v xml:space="preserve"> 10 min</v>
      </c>
      <c r="E284" s="46" t="s">
        <v>180</v>
      </c>
      <c r="F284" s="212"/>
      <c r="G284" s="213"/>
      <c r="H284" s="151"/>
    </row>
    <row r="285" spans="2:8" s="43" customFormat="1" ht="12" x14ac:dyDescent="0.25">
      <c r="B285" s="45" t="s">
        <v>30</v>
      </c>
      <c r="C285" s="45">
        <v>2</v>
      </c>
      <c r="D285" s="126" t="str">
        <f t="shared" si="23"/>
        <v xml:space="preserve"> 10 min</v>
      </c>
      <c r="E285" s="46" t="s">
        <v>181</v>
      </c>
      <c r="F285" s="226" t="s">
        <v>182</v>
      </c>
      <c r="G285" s="213"/>
      <c r="H285" s="151"/>
    </row>
    <row r="286" spans="2:8" s="43" customFormat="1" ht="12" x14ac:dyDescent="0.25">
      <c r="B286" s="45"/>
      <c r="C286" s="45"/>
      <c r="D286" s="126" t="str">
        <f t="shared" si="23"/>
        <v/>
      </c>
      <c r="E286" s="46"/>
      <c r="F286" s="212"/>
      <c r="G286" s="213"/>
      <c r="H286" s="151"/>
    </row>
    <row r="287" spans="2:8" s="43" customFormat="1" ht="12.45" thickBot="1" x14ac:dyDescent="0.3">
      <c r="B287" s="47"/>
      <c r="C287" s="47"/>
      <c r="D287" s="127" t="str">
        <f t="shared" si="23"/>
        <v/>
      </c>
      <c r="E287" s="48"/>
      <c r="F287" s="214"/>
      <c r="G287" s="215"/>
      <c r="H287" s="151"/>
    </row>
    <row r="288" spans="2:8" s="43" customFormat="1" ht="12.9" thickBot="1" x14ac:dyDescent="0.3">
      <c r="B288" s="134" t="s">
        <v>41</v>
      </c>
      <c r="C288" s="66">
        <f>SUM(C280:C287)</f>
        <v>38</v>
      </c>
      <c r="D288" s="134" t="str">
        <f xml:space="preserve"> setValueToTime(C288)</f>
        <v>3h 10 min</v>
      </c>
      <c r="E288" s="96"/>
      <c r="F288" s="222"/>
      <c r="G288" s="223"/>
      <c r="H288" s="151"/>
    </row>
    <row r="289" spans="2:8" s="43" customFormat="1" ht="11.6" thickBot="1" x14ac:dyDescent="0.3">
      <c r="B289" s="60"/>
      <c r="C289" s="60"/>
      <c r="D289" s="60"/>
      <c r="E289" s="60"/>
      <c r="F289" s="60"/>
      <c r="G289" s="60"/>
      <c r="H289" s="151"/>
    </row>
    <row r="290" spans="2:8" s="39" customFormat="1" ht="30" customHeight="1" thickBot="1" x14ac:dyDescent="0.3">
      <c r="B290" s="128" t="s">
        <v>34</v>
      </c>
      <c r="C290" s="136">
        <v>3</v>
      </c>
      <c r="D290" s="136"/>
      <c r="E290" s="129" t="s">
        <v>35</v>
      </c>
      <c r="F290" s="130" t="s">
        <v>171</v>
      </c>
      <c r="G290" s="131" t="s">
        <v>47</v>
      </c>
      <c r="H290" s="150"/>
    </row>
    <row r="291" spans="2:8" s="39" customFormat="1" ht="30" customHeight="1" thickBot="1" x14ac:dyDescent="0.3">
      <c r="B291" s="61" t="s">
        <v>36</v>
      </c>
      <c r="C291" s="133" t="s">
        <v>37</v>
      </c>
      <c r="D291" s="132"/>
      <c r="E291" s="61" t="s">
        <v>38</v>
      </c>
      <c r="F291" s="224" t="s">
        <v>39</v>
      </c>
      <c r="G291" s="225"/>
      <c r="H291" s="150"/>
    </row>
    <row r="292" spans="2:8" s="43" customFormat="1" ht="24" x14ac:dyDescent="0.25">
      <c r="B292" s="40" t="s">
        <v>73</v>
      </c>
      <c r="C292" s="41">
        <v>2</v>
      </c>
      <c r="D292" s="124" t="str">
        <f xml:space="preserve"> IF(C292="","",setValueToTime(C292))</f>
        <v xml:space="preserve"> 10 min</v>
      </c>
      <c r="E292" s="42" t="s">
        <v>174</v>
      </c>
      <c r="F292" s="220"/>
      <c r="G292" s="221"/>
      <c r="H292" s="151"/>
    </row>
    <row r="293" spans="2:8" s="43" customFormat="1" ht="24" x14ac:dyDescent="0.25">
      <c r="B293" s="44" t="s">
        <v>74</v>
      </c>
      <c r="C293" s="45">
        <v>12</v>
      </c>
      <c r="D293" s="125" t="str">
        <f t="shared" ref="D293:D299" si="24" xml:space="preserve"> IF(C293="","",setValueToTime(C293))</f>
        <v>1h</v>
      </c>
      <c r="E293" s="46" t="s">
        <v>176</v>
      </c>
      <c r="F293" s="226" t="s">
        <v>186</v>
      </c>
      <c r="G293" s="213"/>
      <c r="H293" s="151"/>
    </row>
    <row r="294" spans="2:8" s="43" customFormat="1" ht="24" x14ac:dyDescent="0.25">
      <c r="B294" s="44" t="s">
        <v>50</v>
      </c>
      <c r="C294" s="45">
        <v>12</v>
      </c>
      <c r="D294" s="125" t="str">
        <f t="shared" si="24"/>
        <v>1h</v>
      </c>
      <c r="E294" s="46" t="s">
        <v>175</v>
      </c>
      <c r="F294" s="212"/>
      <c r="G294" s="213"/>
      <c r="H294" s="151"/>
    </row>
    <row r="295" spans="2:8" s="43" customFormat="1" ht="12" x14ac:dyDescent="0.25">
      <c r="B295" s="44" t="s">
        <v>69</v>
      </c>
      <c r="C295" s="45">
        <v>22</v>
      </c>
      <c r="D295" s="125" t="str">
        <f t="shared" si="24"/>
        <v>1h 50 min</v>
      </c>
      <c r="E295" t="s">
        <v>260</v>
      </c>
      <c r="F295" s="212"/>
      <c r="G295" s="213"/>
      <c r="H295" s="151"/>
    </row>
    <row r="296" spans="2:8" s="43" customFormat="1" ht="12" x14ac:dyDescent="0.25">
      <c r="B296" s="45"/>
      <c r="C296" s="45"/>
      <c r="D296" s="126" t="str">
        <f t="shared" si="24"/>
        <v/>
      </c>
      <c r="E296" s="46"/>
      <c r="F296" s="212"/>
      <c r="G296" s="213"/>
      <c r="H296" s="151"/>
    </row>
    <row r="297" spans="2:8" s="43" customFormat="1" ht="12" x14ac:dyDescent="0.25">
      <c r="B297" s="45"/>
      <c r="C297" s="45"/>
      <c r="D297" s="126" t="str">
        <f t="shared" si="24"/>
        <v/>
      </c>
      <c r="E297" s="46"/>
      <c r="F297" s="212"/>
      <c r="G297" s="213"/>
      <c r="H297" s="151"/>
    </row>
    <row r="298" spans="2:8" s="43" customFormat="1" ht="12" x14ac:dyDescent="0.25">
      <c r="B298" s="45"/>
      <c r="C298" s="45"/>
      <c r="D298" s="126" t="str">
        <f t="shared" si="24"/>
        <v/>
      </c>
      <c r="E298" s="46"/>
      <c r="F298" s="212"/>
      <c r="G298" s="213"/>
      <c r="H298" s="151"/>
    </row>
    <row r="299" spans="2:8" s="43" customFormat="1" ht="12.45" thickBot="1" x14ac:dyDescent="0.3">
      <c r="B299" s="47"/>
      <c r="C299" s="47"/>
      <c r="D299" s="127" t="str">
        <f t="shared" si="24"/>
        <v/>
      </c>
      <c r="E299" s="48"/>
      <c r="F299" s="214"/>
      <c r="G299" s="215"/>
      <c r="H299" s="151"/>
    </row>
    <row r="300" spans="2:8" s="43" customFormat="1" ht="12.9" thickBot="1" x14ac:dyDescent="0.3">
      <c r="B300" s="134" t="s">
        <v>41</v>
      </c>
      <c r="C300" s="66">
        <f>SUM(C292:C299)</f>
        <v>48</v>
      </c>
      <c r="D300" s="134" t="str">
        <f xml:space="preserve"> setValueToTime(C300)</f>
        <v>4h</v>
      </c>
      <c r="E300" s="96"/>
      <c r="F300" s="222"/>
      <c r="G300" s="223"/>
      <c r="H300" s="151"/>
    </row>
    <row r="301" spans="2:8" s="43" customFormat="1" ht="11.6" thickBot="1" x14ac:dyDescent="0.3">
      <c r="B301" s="60"/>
      <c r="C301" s="60"/>
      <c r="D301" s="60"/>
      <c r="E301" s="60"/>
      <c r="F301" s="60"/>
      <c r="G301" s="60"/>
      <c r="H301" s="151"/>
    </row>
    <row r="302" spans="2:8" s="39" customFormat="1" ht="30" customHeight="1" thickBot="1" x14ac:dyDescent="0.3">
      <c r="B302" s="128" t="s">
        <v>34</v>
      </c>
      <c r="C302" s="136">
        <v>2</v>
      </c>
      <c r="D302" s="136"/>
      <c r="E302" s="129" t="s">
        <v>35</v>
      </c>
      <c r="F302" s="130" t="s">
        <v>172</v>
      </c>
      <c r="G302" s="131" t="s">
        <v>48</v>
      </c>
      <c r="H302" s="150"/>
    </row>
    <row r="303" spans="2:8" s="39" customFormat="1" ht="30" customHeight="1" thickBot="1" x14ac:dyDescent="0.3">
      <c r="B303" s="61" t="s">
        <v>36</v>
      </c>
      <c r="C303" s="133" t="s">
        <v>37</v>
      </c>
      <c r="D303" s="132"/>
      <c r="E303" s="61" t="s">
        <v>38</v>
      </c>
      <c r="F303" s="224" t="s">
        <v>39</v>
      </c>
      <c r="G303" s="225"/>
      <c r="H303" s="150"/>
    </row>
    <row r="304" spans="2:8" s="43" customFormat="1" ht="24.45" thickBot="1" x14ac:dyDescent="0.3">
      <c r="B304" s="44" t="s">
        <v>29</v>
      </c>
      <c r="C304" s="41">
        <v>3</v>
      </c>
      <c r="D304" s="124" t="str">
        <f xml:space="preserve"> IF(C304="","",setValueToTime(C304))</f>
        <v xml:space="preserve"> 15 min</v>
      </c>
      <c r="E304" s="46" t="s">
        <v>173</v>
      </c>
      <c r="F304" s="220"/>
      <c r="G304" s="221"/>
      <c r="H304" s="151"/>
    </row>
    <row r="305" spans="2:8" s="43" customFormat="1" ht="24" x14ac:dyDescent="0.25">
      <c r="B305" s="44" t="s">
        <v>28</v>
      </c>
      <c r="C305" s="45">
        <v>17</v>
      </c>
      <c r="D305" s="125" t="str">
        <f t="shared" ref="D305:D311" si="25" xml:space="preserve"> IF(C305="","",setValueToTime(C305))</f>
        <v>1h 25 min</v>
      </c>
      <c r="E305" s="42" t="s">
        <v>78</v>
      </c>
      <c r="F305" s="212"/>
      <c r="G305" s="213"/>
      <c r="H305" s="151"/>
    </row>
    <row r="306" spans="2:8" s="43" customFormat="1" ht="24" x14ac:dyDescent="0.25">
      <c r="B306" s="44" t="s">
        <v>52</v>
      </c>
      <c r="C306" s="45">
        <v>9</v>
      </c>
      <c r="D306" s="125" t="str">
        <f t="shared" si="25"/>
        <v xml:space="preserve"> 45 min</v>
      </c>
      <c r="E306" s="46" t="s">
        <v>77</v>
      </c>
      <c r="F306" s="212"/>
      <c r="G306" s="213"/>
      <c r="H306" s="151"/>
    </row>
    <row r="307" spans="2:8" s="43" customFormat="1" ht="12" x14ac:dyDescent="0.25">
      <c r="B307" s="44"/>
      <c r="C307" s="45"/>
      <c r="D307" s="125" t="str">
        <f t="shared" si="25"/>
        <v/>
      </c>
      <c r="E307" s="46"/>
      <c r="F307" s="212"/>
      <c r="G307" s="213"/>
      <c r="H307" s="151"/>
    </row>
    <row r="308" spans="2:8" s="43" customFormat="1" ht="12" x14ac:dyDescent="0.25">
      <c r="B308" s="45"/>
      <c r="C308" s="45"/>
      <c r="D308" s="126" t="str">
        <f t="shared" si="25"/>
        <v/>
      </c>
      <c r="E308" s="46"/>
      <c r="F308" s="212"/>
      <c r="G308" s="213"/>
      <c r="H308" s="151"/>
    </row>
    <row r="309" spans="2:8" s="43" customFormat="1" ht="12" x14ac:dyDescent="0.25">
      <c r="B309" s="45"/>
      <c r="C309" s="45"/>
      <c r="D309" s="126" t="str">
        <f t="shared" si="25"/>
        <v/>
      </c>
      <c r="E309" s="46"/>
      <c r="F309" s="212"/>
      <c r="G309" s="213"/>
      <c r="H309" s="151"/>
    </row>
    <row r="310" spans="2:8" s="43" customFormat="1" ht="12" x14ac:dyDescent="0.25">
      <c r="B310" s="45"/>
      <c r="C310" s="45"/>
      <c r="D310" s="126" t="str">
        <f t="shared" si="25"/>
        <v/>
      </c>
      <c r="E310" s="46"/>
      <c r="F310" s="212"/>
      <c r="G310" s="213"/>
      <c r="H310" s="151"/>
    </row>
    <row r="311" spans="2:8" s="43" customFormat="1" ht="12.45" thickBot="1" x14ac:dyDescent="0.3">
      <c r="B311" s="47"/>
      <c r="C311" s="47"/>
      <c r="D311" s="127" t="str">
        <f t="shared" si="25"/>
        <v/>
      </c>
      <c r="E311" s="48"/>
      <c r="F311" s="214"/>
      <c r="G311" s="215"/>
      <c r="H311" s="151"/>
    </row>
    <row r="312" spans="2:8" s="43" customFormat="1" ht="12.9" thickBot="1" x14ac:dyDescent="0.3">
      <c r="B312" s="134" t="s">
        <v>41</v>
      </c>
      <c r="C312" s="66">
        <f>SUM(C304:C311)</f>
        <v>29</v>
      </c>
      <c r="D312" s="134" t="str">
        <f xml:space="preserve"> setValueToTime(C312)</f>
        <v>2h 25 min</v>
      </c>
      <c r="E312" s="96"/>
      <c r="F312" s="222"/>
      <c r="G312" s="223"/>
      <c r="H312" s="151"/>
    </row>
    <row r="313" spans="2:8" s="43" customFormat="1" ht="11.6" thickBot="1" x14ac:dyDescent="0.3">
      <c r="B313" s="60"/>
      <c r="C313" s="60"/>
      <c r="D313" s="60"/>
      <c r="E313" s="60"/>
      <c r="F313" s="60"/>
      <c r="G313" s="60"/>
      <c r="H313" s="151"/>
    </row>
    <row r="314" spans="2:8" s="39" customFormat="1" ht="30" customHeight="1" thickBot="1" x14ac:dyDescent="0.3">
      <c r="B314" s="128" t="s">
        <v>34</v>
      </c>
      <c r="C314" s="136">
        <v>1</v>
      </c>
      <c r="D314" s="136"/>
      <c r="E314" s="129" t="s">
        <v>35</v>
      </c>
      <c r="F314" s="130" t="s">
        <v>172</v>
      </c>
      <c r="G314" s="131" t="s">
        <v>47</v>
      </c>
      <c r="H314" s="150"/>
    </row>
    <row r="315" spans="2:8" s="39" customFormat="1" ht="30" customHeight="1" thickBot="1" x14ac:dyDescent="0.3">
      <c r="B315" s="61" t="s">
        <v>36</v>
      </c>
      <c r="C315" s="133" t="s">
        <v>37</v>
      </c>
      <c r="D315" s="132"/>
      <c r="E315" s="61" t="s">
        <v>38</v>
      </c>
      <c r="F315" s="224" t="s">
        <v>39</v>
      </c>
      <c r="G315" s="225"/>
      <c r="H315" s="150"/>
    </row>
    <row r="316" spans="2:8" s="43" customFormat="1" ht="12" x14ac:dyDescent="0.25">
      <c r="B316" s="40" t="s">
        <v>73</v>
      </c>
      <c r="C316" s="41">
        <v>12</v>
      </c>
      <c r="D316" s="124" t="str">
        <f xml:space="preserve"> IF(C316="","",setValueToTime(C316))</f>
        <v>1h</v>
      </c>
      <c r="E316" s="42" t="s">
        <v>75</v>
      </c>
      <c r="F316" s="220"/>
      <c r="G316" s="221"/>
      <c r="H316" s="151"/>
    </row>
    <row r="317" spans="2:8" s="43" customFormat="1" ht="24" x14ac:dyDescent="0.25">
      <c r="B317" s="44" t="s">
        <v>261</v>
      </c>
      <c r="C317" s="45">
        <v>12</v>
      </c>
      <c r="D317" s="125" t="str">
        <f t="shared" ref="D317:D323" si="26" xml:space="preserve"> IF(C317="","",setValueToTime(C317))</f>
        <v>1h</v>
      </c>
      <c r="E317" t="s">
        <v>76</v>
      </c>
      <c r="F317" s="212"/>
      <c r="G317" s="213"/>
      <c r="H317" s="151"/>
    </row>
    <row r="318" spans="2:8" s="43" customFormat="1" ht="24" x14ac:dyDescent="0.25">
      <c r="B318" s="45" t="s">
        <v>28</v>
      </c>
      <c r="C318" s="45">
        <v>8</v>
      </c>
      <c r="D318" s="125" t="str">
        <f t="shared" si="26"/>
        <v xml:space="preserve"> 40 min</v>
      </c>
      <c r="E318" s="46" t="s">
        <v>262</v>
      </c>
      <c r="F318" s="212"/>
      <c r="G318" s="213"/>
      <c r="H318" s="151"/>
    </row>
    <row r="319" spans="2:8" s="43" customFormat="1" ht="24" x14ac:dyDescent="0.25">
      <c r="B319" s="44" t="s">
        <v>49</v>
      </c>
      <c r="C319" s="45">
        <v>2</v>
      </c>
      <c r="D319" s="125" t="str">
        <f t="shared" si="26"/>
        <v xml:space="preserve"> 10 min</v>
      </c>
      <c r="E319" s="46" t="s">
        <v>81</v>
      </c>
      <c r="F319" s="226" t="s">
        <v>185</v>
      </c>
      <c r="G319" s="213"/>
      <c r="H319" s="151"/>
    </row>
    <row r="320" spans="2:8" s="43" customFormat="1" ht="24" x14ac:dyDescent="0.25">
      <c r="B320" s="45" t="s">
        <v>29</v>
      </c>
      <c r="C320" s="45">
        <v>2</v>
      </c>
      <c r="D320" s="126" t="str">
        <f t="shared" si="26"/>
        <v xml:space="preserve"> 10 min</v>
      </c>
      <c r="E320" s="46" t="s">
        <v>79</v>
      </c>
      <c r="F320" s="212"/>
      <c r="G320" s="213"/>
      <c r="H320" s="151"/>
    </row>
    <row r="321" spans="2:8" s="43" customFormat="1" ht="12" x14ac:dyDescent="0.25">
      <c r="B321" s="45" t="s">
        <v>30</v>
      </c>
      <c r="C321" s="45">
        <v>2</v>
      </c>
      <c r="D321" s="126" t="str">
        <f t="shared" si="26"/>
        <v xml:space="preserve"> 10 min</v>
      </c>
      <c r="E321" s="46" t="s">
        <v>80</v>
      </c>
      <c r="F321" s="212"/>
      <c r="G321" s="213"/>
      <c r="H321" s="151"/>
    </row>
    <row r="322" spans="2:8" s="43" customFormat="1" ht="12" x14ac:dyDescent="0.25">
      <c r="B322" s="45"/>
      <c r="C322" s="45"/>
      <c r="D322" s="126" t="str">
        <f t="shared" si="26"/>
        <v/>
      </c>
      <c r="E322" s="46"/>
      <c r="F322" s="212"/>
      <c r="G322" s="213"/>
      <c r="H322" s="151"/>
    </row>
    <row r="323" spans="2:8" s="43" customFormat="1" ht="12.45" thickBot="1" x14ac:dyDescent="0.3">
      <c r="B323" s="47"/>
      <c r="C323" s="47"/>
      <c r="D323" s="127" t="str">
        <f t="shared" si="26"/>
        <v/>
      </c>
      <c r="E323" s="48"/>
      <c r="F323" s="214"/>
      <c r="G323" s="215"/>
      <c r="H323" s="151"/>
    </row>
    <row r="324" spans="2:8" s="43" customFormat="1" ht="12.9" thickBot="1" x14ac:dyDescent="0.3">
      <c r="B324" s="134" t="s">
        <v>41</v>
      </c>
      <c r="C324" s="66">
        <f>SUM(C316:C323)</f>
        <v>38</v>
      </c>
      <c r="D324" s="134" t="str">
        <f xml:space="preserve"> setValueToTime(C324)</f>
        <v>3h 10 min</v>
      </c>
      <c r="E324" s="96"/>
      <c r="F324" s="222"/>
      <c r="G324" s="223"/>
      <c r="H324" s="151"/>
    </row>
    <row r="325" spans="2:8" s="43" customFormat="1" x14ac:dyDescent="0.25">
      <c r="B325" s="60"/>
      <c r="C325" s="60"/>
      <c r="D325" s="60"/>
      <c r="E325" s="60"/>
      <c r="F325" s="60"/>
      <c r="G325" s="60"/>
      <c r="H325" s="151"/>
    </row>
  </sheetData>
  <sheetProtection formatRows="0" insertRows="0" insertHyperlinks="0" deleteRows="0" selectLockedCells="1"/>
  <mergeCells count="270">
    <mergeCell ref="F12:G12"/>
    <mergeCell ref="F3:G3"/>
    <mergeCell ref="F4:G4"/>
    <mergeCell ref="F5:G5"/>
    <mergeCell ref="F6:G6"/>
    <mergeCell ref="F7:G7"/>
    <mergeCell ref="F8:G8"/>
    <mergeCell ref="F9:G9"/>
    <mergeCell ref="F10:G10"/>
    <mergeCell ref="F11:G11"/>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321:G321"/>
    <mergeCell ref="F322:G322"/>
    <mergeCell ref="F323:G323"/>
    <mergeCell ref="F324:G324"/>
    <mergeCell ref="F315:G315"/>
    <mergeCell ref="F316:G316"/>
    <mergeCell ref="F317:G317"/>
    <mergeCell ref="F318:G318"/>
    <mergeCell ref="F319:G319"/>
    <mergeCell ref="F320:G320"/>
    <mergeCell ref="F308:G308"/>
    <mergeCell ref="F309:G309"/>
    <mergeCell ref="F310:G310"/>
    <mergeCell ref="F311:G311"/>
    <mergeCell ref="F312:G312"/>
    <mergeCell ref="F303:G303"/>
    <mergeCell ref="F304:G304"/>
    <mergeCell ref="F305:G305"/>
    <mergeCell ref="F306:G306"/>
    <mergeCell ref="F307:G307"/>
    <mergeCell ref="F296:G296"/>
    <mergeCell ref="F297:G297"/>
    <mergeCell ref="F298:G298"/>
    <mergeCell ref="F299:G299"/>
    <mergeCell ref="F300:G300"/>
    <mergeCell ref="F291:G291"/>
    <mergeCell ref="F292:G292"/>
    <mergeCell ref="F293:G293"/>
    <mergeCell ref="F294:G294"/>
    <mergeCell ref="F295:G295"/>
    <mergeCell ref="F284:G284"/>
    <mergeCell ref="F285:G285"/>
    <mergeCell ref="F286:G286"/>
    <mergeCell ref="F287:G287"/>
    <mergeCell ref="F288:G288"/>
    <mergeCell ref="F279:G279"/>
    <mergeCell ref="F280:G280"/>
    <mergeCell ref="F281:G281"/>
    <mergeCell ref="F282:G282"/>
    <mergeCell ref="F283:G283"/>
    <mergeCell ref="F224:G224"/>
    <mergeCell ref="F225:G225"/>
    <mergeCell ref="F226:G226"/>
    <mergeCell ref="F227:G227"/>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s>
  <phoneticPr fontId="0" type="noConversion"/>
  <conditionalFormatting sqref="C324">
    <cfRule type="cellIs" dxfId="28" priority="27" operator="greaterThan">
      <formula>60</formula>
    </cfRule>
  </conditionalFormatting>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16:C323 C304:C311 C292:C299 C280:C287 C268:C275 C256:C263 C244:C251 C232:C239 C220:C227 C208:C215 C196:C203 C184:C191 C172:C179 C160:C167 C148:C155 C136:C143 C124:C131 C112:C119 C100:C107 C88:C95 C76:C83 C64:C71 C52:C59 C40:C47 C28:C35 C16:C23 C4:C11" xr:uid="{FA718D4E-0DC0-46A2-BBB0-A90B0270EE3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D084543F-9300-416C-811C-BE4E0D4B2A7C}">
      <formula1>0</formula1>
      <formula2>60</formula2>
    </dataValidation>
  </dataValidations>
  <hyperlinks>
    <hyperlink ref="F285" r:id="rId1" xr:uid="{628C0AA7-03A1-44CF-A0F8-7EAC594B6087}"/>
    <hyperlink ref="F282" r:id="rId2" xr:uid="{28C0E24E-C07C-45A1-AA75-0AA9F1E7EF41}"/>
    <hyperlink ref="F319" r:id="rId3" xr:uid="{DCFDBA92-0363-4404-BF3E-40D7262C89B4}"/>
    <hyperlink ref="F293" r:id="rId4" xr:uid="{132A8E0C-C666-41CD-91FC-B125A1B0C533}"/>
    <hyperlink ref="F236" r:id="rId5" xr:uid="{4C3E0973-46A5-4AD1-A92A-39ABE882A13B}"/>
  </hyperlinks>
  <printOptions horizontalCentered="1" verticalCentered="1"/>
  <pageMargins left="0.78740157480314965" right="0.78740157480314965" top="0.98425196850393704" bottom="0.98425196850393704" header="0.51181102362204722" footer="0.51181102362204722"/>
  <pageSetup paperSize="9" scale="45" fitToHeight="4" orientation="portrait"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1</xdr:col>
                <xdr:colOff>103414</xdr:colOff>
                <xdr:row>0</xdr:row>
                <xdr:rowOff>87086</xdr:rowOff>
              </from>
              <to>
                <xdr:col>2</xdr:col>
                <xdr:colOff>370114</xdr:colOff>
                <xdr:row>0</xdr:row>
                <xdr:rowOff>555171</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3</xdr:col>
                <xdr:colOff>87086</xdr:colOff>
                <xdr:row>0</xdr:row>
                <xdr:rowOff>87086</xdr:rowOff>
              </from>
              <to>
                <xdr:col>4</xdr:col>
                <xdr:colOff>718457</xdr:colOff>
                <xdr:row>0</xdr:row>
                <xdr:rowOff>566057</xdr:rowOff>
              </to>
            </anchor>
          </controlPr>
        </control>
      </mc:Choice>
      <mc:Fallback>
        <control shapeId="9220" r:id="rId11"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4B55585-060F-4821-A046-54A6FFD71CF9}">
          <x14:formula1>
            <xm:f>OFFSET(Bilan!$B:$B,14,0,COUNTA(Bilan!$C$15:$C$93))</xm:f>
          </x14:formula1>
          <xm:sqref>B280:B287 B316:B323 B304:B311 B292:B299 B232:B239 B256:B263 B244:B251 B268:B275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0" zoomScaleNormal="10" workbookViewId="0">
      <selection sqref="A1:BI99"/>
    </sheetView>
  </sheetViews>
  <sheetFormatPr baseColWidth="10" defaultColWidth="11.3828125" defaultRowHeight="12" x14ac:dyDescent="0.25"/>
  <cols>
    <col min="1" max="60" width="1.15234375" customWidth="1"/>
    <col min="61" max="61" width="2.6914062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3"/>
    </row>
    <row r="11" spans="1:61" ht="17.149999999999999" x14ac:dyDescent="0.3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3"/>
    </row>
    <row r="12" spans="1:61" ht="18.45" thickBot="1" x14ac:dyDescent="0.45">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3"/>
    </row>
    <row r="13" spans="1:61" ht="17.600000000000001" thickBot="1" x14ac:dyDescent="0.3">
      <c r="A13" s="177" t="s">
        <v>34</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3"/>
    </row>
    <row r="14" spans="1:61" ht="15.45" thickBot="1" x14ac:dyDescent="0.3">
      <c r="A14" s="81"/>
      <c r="B14" s="82"/>
      <c r="C14" s="82"/>
      <c r="D14" s="82"/>
      <c r="E14" s="180" t="s">
        <v>17</v>
      </c>
      <c r="F14" s="180"/>
      <c r="G14" s="180"/>
      <c r="H14" s="180"/>
      <c r="I14" s="82"/>
      <c r="J14" s="82"/>
      <c r="K14" s="181" t="s">
        <v>18</v>
      </c>
      <c r="L14" s="181"/>
      <c r="M14" s="181"/>
      <c r="N14" s="181"/>
      <c r="O14" s="102"/>
      <c r="P14" s="102"/>
      <c r="Q14" s="180" t="s">
        <v>19</v>
      </c>
      <c r="R14" s="180"/>
      <c r="S14" s="180"/>
      <c r="T14" s="180"/>
      <c r="U14" s="82"/>
      <c r="V14" s="82"/>
      <c r="W14" s="181" t="s">
        <v>20</v>
      </c>
      <c r="X14" s="181"/>
      <c r="Y14" s="181"/>
      <c r="Z14" s="181"/>
      <c r="AA14" s="102"/>
      <c r="AB14" s="102"/>
      <c r="AC14" s="180" t="s">
        <v>21</v>
      </c>
      <c r="AD14" s="180"/>
      <c r="AE14" s="180"/>
      <c r="AF14" s="180"/>
      <c r="AG14" s="82"/>
      <c r="AH14" s="82"/>
      <c r="AI14" s="181" t="s">
        <v>22</v>
      </c>
      <c r="AJ14" s="181"/>
      <c r="AK14" s="181"/>
      <c r="AL14" s="181"/>
      <c r="AM14" s="102"/>
      <c r="AN14" s="102"/>
      <c r="AO14" s="180" t="s">
        <v>23</v>
      </c>
      <c r="AP14" s="180"/>
      <c r="AQ14" s="180"/>
      <c r="AR14" s="180"/>
      <c r="AS14" s="82"/>
      <c r="AT14" s="82"/>
      <c r="AU14" s="181" t="s">
        <v>24</v>
      </c>
      <c r="AV14" s="181"/>
      <c r="AW14" s="181"/>
      <c r="AX14" s="181"/>
      <c r="AY14" s="102"/>
      <c r="AZ14" s="102"/>
      <c r="BA14" s="180" t="s">
        <v>25</v>
      </c>
      <c r="BB14" s="180"/>
      <c r="BC14" s="180"/>
      <c r="BD14" s="18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2.4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2.4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2.4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3828125" defaultRowHeight="11.15" x14ac:dyDescent="0.25"/>
  <cols>
    <col min="1" max="1" width="2" style="50" customWidth="1"/>
    <col min="2" max="2" width="24.69140625" style="49" customWidth="1"/>
    <col min="3" max="3" width="9.69140625" style="49" customWidth="1"/>
    <col min="4" max="4" width="12.15234375" style="49" customWidth="1"/>
    <col min="5" max="5" width="87" style="49" customWidth="1"/>
    <col min="6" max="6" width="42.3046875" style="49" customWidth="1"/>
    <col min="7" max="7" width="33.53515625" style="49" customWidth="1"/>
    <col min="8" max="8" width="2.3828125" style="3" customWidth="1"/>
    <col min="9" max="16384" width="11.3828125" style="50"/>
  </cols>
  <sheetData>
    <row r="1" spans="2:8" s="39" customFormat="1" ht="30" customHeight="1" thickBot="1" x14ac:dyDescent="0.3">
      <c r="B1" s="64" t="s">
        <v>34</v>
      </c>
      <c r="C1" s="135">
        <v>1</v>
      </c>
      <c r="D1" s="135"/>
      <c r="E1" s="65" t="s">
        <v>35</v>
      </c>
      <c r="F1" s="77"/>
      <c r="G1" s="101"/>
      <c r="H1" s="150"/>
    </row>
    <row r="2" spans="2:8" s="39" customFormat="1" ht="30" customHeight="1" thickBot="1" x14ac:dyDescent="0.3">
      <c r="B2" s="63" t="s">
        <v>36</v>
      </c>
      <c r="C2" s="122" t="s">
        <v>37</v>
      </c>
      <c r="D2" s="123"/>
      <c r="E2" s="63" t="s">
        <v>38</v>
      </c>
      <c r="F2" s="218" t="s">
        <v>39</v>
      </c>
      <c r="G2" s="219"/>
      <c r="H2" s="150"/>
    </row>
    <row r="3" spans="2:8" s="43" customFormat="1" ht="12" x14ac:dyDescent="0.25">
      <c r="B3" s="40" t="s">
        <v>40</v>
      </c>
      <c r="C3" s="41"/>
      <c r="D3" s="124" t="str">
        <f xml:space="preserve"> IF(C3="","",setValueToTime(C3))</f>
        <v/>
      </c>
      <c r="E3" s="42"/>
      <c r="F3" s="220"/>
      <c r="G3" s="221"/>
      <c r="H3" s="151"/>
    </row>
    <row r="4" spans="2:8" s="43" customFormat="1" ht="12" x14ac:dyDescent="0.25">
      <c r="B4" s="44"/>
      <c r="C4" s="45"/>
      <c r="D4" s="125" t="str">
        <f t="shared" ref="D4:D10" si="0" xml:space="preserve"> IF(C4="","",setValueToTime(C4))</f>
        <v/>
      </c>
      <c r="E4" s="46"/>
      <c r="F4" s="212"/>
      <c r="G4" s="213"/>
      <c r="H4" s="151"/>
    </row>
    <row r="5" spans="2:8" s="43" customFormat="1" ht="12" x14ac:dyDescent="0.25">
      <c r="B5" s="44"/>
      <c r="C5" s="45"/>
      <c r="D5" s="125" t="str">
        <f t="shared" si="0"/>
        <v/>
      </c>
      <c r="E5" s="46"/>
      <c r="F5" s="212"/>
      <c r="G5" s="213"/>
      <c r="H5" s="151"/>
    </row>
    <row r="6" spans="2:8" s="43" customFormat="1" ht="12" x14ac:dyDescent="0.25">
      <c r="B6" s="44"/>
      <c r="C6" s="45"/>
      <c r="D6" s="125" t="str">
        <f t="shared" si="0"/>
        <v/>
      </c>
      <c r="E6" s="46"/>
      <c r="F6" s="212"/>
      <c r="G6" s="213"/>
      <c r="H6" s="151"/>
    </row>
    <row r="7" spans="2:8" s="43" customFormat="1" ht="12" x14ac:dyDescent="0.25">
      <c r="B7" s="44"/>
      <c r="C7" s="45"/>
      <c r="D7" s="126" t="str">
        <f t="shared" si="0"/>
        <v/>
      </c>
      <c r="E7" s="46"/>
      <c r="F7" s="212"/>
      <c r="G7" s="213"/>
      <c r="H7" s="151"/>
    </row>
    <row r="8" spans="2:8" s="43" customFormat="1" ht="12" x14ac:dyDescent="0.25">
      <c r="B8" s="44"/>
      <c r="C8" s="45"/>
      <c r="D8" s="126" t="str">
        <f t="shared" si="0"/>
        <v/>
      </c>
      <c r="E8" s="46"/>
      <c r="F8" s="212"/>
      <c r="G8" s="213"/>
      <c r="H8" s="151"/>
    </row>
    <row r="9" spans="2:8" s="43" customFormat="1" ht="12" x14ac:dyDescent="0.25">
      <c r="B9" s="44"/>
      <c r="C9" s="45"/>
      <c r="D9" s="126" t="str">
        <f t="shared" si="0"/>
        <v/>
      </c>
      <c r="E9" s="46"/>
      <c r="F9" s="212"/>
      <c r="G9" s="213"/>
      <c r="H9" s="151"/>
    </row>
    <row r="10" spans="2:8" s="43" customFormat="1" ht="12.45" thickBot="1" x14ac:dyDescent="0.3">
      <c r="B10" s="44"/>
      <c r="C10" s="47"/>
      <c r="D10" s="127" t="str">
        <f t="shared" si="0"/>
        <v/>
      </c>
      <c r="E10" s="48"/>
      <c r="F10" s="214"/>
      <c r="G10" s="215"/>
      <c r="H10" s="151"/>
    </row>
    <row r="11" spans="2:8" s="43" customFormat="1" ht="12.9" thickBot="1" x14ac:dyDescent="0.3">
      <c r="B11" s="86" t="s">
        <v>41</v>
      </c>
      <c r="C11" s="67">
        <f>SUM(C3:C10)</f>
        <v>0</v>
      </c>
      <c r="D11" s="86" t="str">
        <f xml:space="preserve"> setValueToTime(C11)</f>
        <v/>
      </c>
      <c r="E11" s="95"/>
      <c r="F11" s="216"/>
      <c r="G11" s="217"/>
      <c r="H11" s="151"/>
    </row>
    <row r="12" spans="2:8" s="43" customFormat="1" x14ac:dyDescent="0.25">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3828125" defaultRowHeight="11.15" x14ac:dyDescent="0.25"/>
  <cols>
    <col min="1" max="1" width="3" style="50" customWidth="1"/>
    <col min="2" max="2" width="24.69140625" style="49" customWidth="1"/>
    <col min="3" max="3" width="8.3828125" style="49" customWidth="1"/>
    <col min="4" max="4" width="10.84375" style="49" customWidth="1"/>
    <col min="5" max="5" width="87" style="49" customWidth="1"/>
    <col min="6" max="6" width="39.69140625" style="49" customWidth="1"/>
    <col min="7" max="7" width="30.3828125" style="49" customWidth="1"/>
    <col min="8" max="8" width="2.69140625" style="3" customWidth="1"/>
    <col min="9" max="16384" width="11.3828125" style="50"/>
  </cols>
  <sheetData>
    <row r="1" spans="2:8" s="39" customFormat="1" ht="30" customHeight="1" thickBot="1" x14ac:dyDescent="0.3">
      <c r="B1" s="128" t="s">
        <v>34</v>
      </c>
      <c r="C1" s="136">
        <v>1</v>
      </c>
      <c r="D1" s="136"/>
      <c r="E1" s="129" t="s">
        <v>35</v>
      </c>
      <c r="F1" s="130"/>
      <c r="G1" s="131"/>
      <c r="H1" s="150"/>
    </row>
    <row r="2" spans="2:8" s="39" customFormat="1" ht="30" customHeight="1" thickBot="1" x14ac:dyDescent="0.3">
      <c r="B2" s="61" t="s">
        <v>36</v>
      </c>
      <c r="C2" s="133" t="s">
        <v>37</v>
      </c>
      <c r="D2" s="132"/>
      <c r="E2" s="61" t="s">
        <v>38</v>
      </c>
      <c r="F2" s="224" t="s">
        <v>39</v>
      </c>
      <c r="G2" s="225"/>
      <c r="H2" s="150"/>
    </row>
    <row r="3" spans="2:8" s="43" customFormat="1" ht="12" x14ac:dyDescent="0.25">
      <c r="B3" s="40"/>
      <c r="C3" s="41"/>
      <c r="D3" s="124" t="str">
        <f xml:space="preserve"> IF(C3="","",setValueToTime(C3))</f>
        <v/>
      </c>
      <c r="E3" s="42"/>
      <c r="F3" s="220"/>
      <c r="G3" s="221"/>
      <c r="H3" s="151"/>
    </row>
    <row r="4" spans="2:8" s="43" customFormat="1" ht="12" x14ac:dyDescent="0.25">
      <c r="B4" s="44"/>
      <c r="C4" s="45"/>
      <c r="D4" s="125" t="str">
        <f t="shared" ref="D4:D10" si="0" xml:space="preserve"> IF(C4="","",setValueToTime(C4))</f>
        <v/>
      </c>
      <c r="E4" s="46"/>
      <c r="F4" s="212"/>
      <c r="G4" s="213"/>
      <c r="H4" s="151"/>
    </row>
    <row r="5" spans="2:8" s="43" customFormat="1" ht="12" x14ac:dyDescent="0.25">
      <c r="B5" s="44"/>
      <c r="C5" s="45"/>
      <c r="D5" s="125" t="str">
        <f t="shared" si="0"/>
        <v/>
      </c>
      <c r="E5" s="46"/>
      <c r="F5" s="212"/>
      <c r="G5" s="213"/>
      <c r="H5" s="151"/>
    </row>
    <row r="6" spans="2:8" s="43" customFormat="1" ht="12" x14ac:dyDescent="0.25">
      <c r="B6" s="44"/>
      <c r="C6" s="45"/>
      <c r="D6" s="125" t="str">
        <f t="shared" si="0"/>
        <v/>
      </c>
      <c r="E6" s="46"/>
      <c r="F6" s="212"/>
      <c r="G6" s="213"/>
      <c r="H6" s="151"/>
    </row>
    <row r="7" spans="2:8" s="43" customFormat="1" ht="12" x14ac:dyDescent="0.25">
      <c r="B7" s="45"/>
      <c r="C7" s="45"/>
      <c r="D7" s="126" t="str">
        <f t="shared" si="0"/>
        <v/>
      </c>
      <c r="E7" s="46"/>
      <c r="F7" s="212"/>
      <c r="G7" s="213"/>
      <c r="H7" s="151"/>
    </row>
    <row r="8" spans="2:8" s="43" customFormat="1" ht="12" x14ac:dyDescent="0.25">
      <c r="B8" s="45"/>
      <c r="C8" s="45"/>
      <c r="D8" s="126" t="str">
        <f t="shared" si="0"/>
        <v/>
      </c>
      <c r="E8" s="46"/>
      <c r="F8" s="212"/>
      <c r="G8" s="213"/>
      <c r="H8" s="151"/>
    </row>
    <row r="9" spans="2:8" s="43" customFormat="1" ht="12" x14ac:dyDescent="0.25">
      <c r="B9" s="45"/>
      <c r="C9" s="45"/>
      <c r="D9" s="126" t="str">
        <f t="shared" si="0"/>
        <v/>
      </c>
      <c r="E9" s="46"/>
      <c r="F9" s="212"/>
      <c r="G9" s="213"/>
      <c r="H9" s="151"/>
    </row>
    <row r="10" spans="2:8" s="43" customFormat="1" ht="12.45" thickBot="1" x14ac:dyDescent="0.3">
      <c r="B10" s="47"/>
      <c r="C10" s="47"/>
      <c r="D10" s="127" t="str">
        <f t="shared" si="0"/>
        <v/>
      </c>
      <c r="E10" s="48"/>
      <c r="F10" s="214"/>
      <c r="G10" s="215"/>
      <c r="H10" s="151"/>
    </row>
    <row r="11" spans="2:8" s="43" customFormat="1" ht="12.9" thickBot="1" x14ac:dyDescent="0.3">
      <c r="B11" s="134" t="s">
        <v>41</v>
      </c>
      <c r="C11" s="66">
        <f>SUM(C3:C10)</f>
        <v>0</v>
      </c>
      <c r="D11" s="134" t="str">
        <f xml:space="preserve"> setValueToTime(C11)</f>
        <v/>
      </c>
      <c r="E11" s="96"/>
      <c r="F11" s="222"/>
      <c r="G11" s="223"/>
      <c r="H11" s="151"/>
    </row>
    <row r="12" spans="2:8" s="43" customFormat="1" x14ac:dyDescent="0.25">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3.xml><?xml version="1.0" encoding="utf-8"?>
<ds:datastoreItem xmlns:ds="http://schemas.openxmlformats.org/officeDocument/2006/customXml" ds:itemID="{F5F9014A-7096-4A50-A703-2E778915CFB8}">
  <ds:schemaRefs>
    <ds:schemaRef ds:uri="http://purl.org/dc/dcmitype/"/>
    <ds:schemaRef ds:uri="http://schemas.microsoft.com/office/2006/metadata/properties"/>
    <ds:schemaRef ds:uri="http://schemas.microsoft.com/office/infopath/2007/PartnerControls"/>
    <ds:schemaRef ds:uri="http://purl.org/dc/terms/"/>
    <ds:schemaRef ds:uri="a1b10758-7132-46a4-a2fe-7a2cf46f51f4"/>
    <ds:schemaRef ds:uri="http://schemas.microsoft.com/office/2006/documentManagement/types"/>
    <ds:schemaRef ds:uri="http://purl.org/dc/elements/1.1/"/>
    <ds:schemaRef ds:uri="http://schemas.openxmlformats.org/package/2006/metadata/core-properties"/>
    <ds:schemaRef ds:uri="f7d9f5a6-831d-4621-8c77-cbcaf993e406"/>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'Bilan Graphique'!Área_de_impresión</vt:lpstr>
      <vt:lpstr>Journal!Área_de_impresión</vt:lpstr>
      <vt:lpstr>seqBilanMaster!Área_de_impresión</vt:lpstr>
      <vt:lpstr>seqJournalMaster!Área_de_impresión</vt:lpstr>
      <vt:lpstr>seqPlanningMaster!Área_de_impresión</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federico toledo</cp:lastModifiedBy>
  <cp:revision/>
  <cp:lastPrinted>2026-05-30T21:52:58Z</cp:lastPrinted>
  <dcterms:created xsi:type="dcterms:W3CDTF">1996-10-21T11:03:58Z</dcterms:created>
  <dcterms:modified xsi:type="dcterms:W3CDTF">2026-05-31T03:29:03Z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